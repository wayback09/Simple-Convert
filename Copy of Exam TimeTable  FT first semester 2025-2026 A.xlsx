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EC Exam\"/>
    </mc:Choice>
  </mc:AlternateContent>
  <bookViews>
    <workbookView xWindow="0" yWindow="0" windowWidth="16380" windowHeight="8200" tabRatio="723"/>
  </bookViews>
  <sheets>
    <sheet name="ENGR" sheetId="15" r:id="rId1"/>
    <sheet name="CBT" sheetId="18" r:id="rId2"/>
    <sheet name="DRWG" sheetId="19" r:id="rId3"/>
  </sheets>
  <definedNames>
    <definedName name="Excel_BuiltIn_Print_Titles" localSheetId="0">ENGR!$A$1:$CJ$7</definedName>
    <definedName name="_xlnm.Print_Area" localSheetId="0">ENGR!$A$1:$AA$56</definedName>
    <definedName name="_xlnm.Print_Titles" localSheetId="0">ENGR!$1:$7</definedName>
  </definedNames>
  <calcPr calcId="152511"/>
</workbook>
</file>

<file path=xl/calcChain.xml><?xml version="1.0" encoding="utf-8"?>
<calcChain xmlns="http://schemas.openxmlformats.org/spreadsheetml/2006/main">
  <c r="Q52" i="15" l="1"/>
  <c r="M52" i="15"/>
  <c r="L52" i="15"/>
  <c r="G52" i="15"/>
  <c r="F52" i="15"/>
  <c r="H52" i="15"/>
  <c r="K52" i="15"/>
  <c r="Z52" i="15" l="1"/>
  <c r="Y52" i="15"/>
  <c r="X52" i="15"/>
  <c r="W52" i="15"/>
  <c r="U52" i="15"/>
  <c r="T52" i="15"/>
  <c r="R52" i="15"/>
  <c r="J52" i="15"/>
  <c r="I52" i="15"/>
  <c r="E52" i="15"/>
  <c r="D52" i="15"/>
  <c r="AA52" i="15" l="1"/>
  <c r="I37" i="19" l="1"/>
  <c r="Z54" i="15" l="1"/>
</calcChain>
</file>

<file path=xl/sharedStrings.xml><?xml version="1.0" encoding="utf-8"?>
<sst xmlns="http://schemas.openxmlformats.org/spreadsheetml/2006/main" count="693" uniqueCount="445">
  <si>
    <t>YABA COLLEGE OF TECHNOLOGY</t>
  </si>
  <si>
    <t>SCHOOL</t>
  </si>
  <si>
    <t>DEPT</t>
  </si>
  <si>
    <t>LEVEL</t>
  </si>
  <si>
    <t>M</t>
  </si>
  <si>
    <t>A</t>
  </si>
  <si>
    <t>E</t>
  </si>
  <si>
    <t>COM 101</t>
  </si>
  <si>
    <t>ND 2</t>
  </si>
  <si>
    <t>EED 216</t>
  </si>
  <si>
    <t>ND 1</t>
  </si>
  <si>
    <t>SUG 208</t>
  </si>
  <si>
    <t>HND 2</t>
  </si>
  <si>
    <t>GNS 311</t>
  </si>
  <si>
    <t>HND 1</t>
  </si>
  <si>
    <t>GNS 301</t>
  </si>
  <si>
    <t>MTH 211</t>
  </si>
  <si>
    <t>SUG 101</t>
  </si>
  <si>
    <t>MTH 111</t>
  </si>
  <si>
    <t>STA 111</t>
  </si>
  <si>
    <t>MTH 311</t>
  </si>
  <si>
    <t>SUG 308</t>
  </si>
  <si>
    <t>EEC 234</t>
  </si>
  <si>
    <t>MTH 112</t>
  </si>
  <si>
    <t>EEC 438</t>
  </si>
  <si>
    <t>EEC 431</t>
  </si>
  <si>
    <t>EEI 311</t>
  </si>
  <si>
    <t>MEC 311</t>
  </si>
  <si>
    <t>EEC 313</t>
  </si>
  <si>
    <t>EEC 307</t>
  </si>
  <si>
    <t>EEC 315</t>
  </si>
  <si>
    <t>EEC 238</t>
  </si>
  <si>
    <t>EEC 232</t>
  </si>
  <si>
    <t>EEC 233</t>
  </si>
  <si>
    <t>EEC 236</t>
  </si>
  <si>
    <t>MEC 112</t>
  </si>
  <si>
    <t>EEC 115</t>
  </si>
  <si>
    <t>EEC 117</t>
  </si>
  <si>
    <t>MEC 111</t>
  </si>
  <si>
    <t>EEC 111</t>
  </si>
  <si>
    <t>IME 305</t>
  </si>
  <si>
    <t>IME 403</t>
  </si>
  <si>
    <t>MEC 321</t>
  </si>
  <si>
    <t>IME 301</t>
  </si>
  <si>
    <t>IME 405</t>
  </si>
  <si>
    <t>IME 401</t>
  </si>
  <si>
    <t>IME 411</t>
  </si>
  <si>
    <t>MEC 315</t>
  </si>
  <si>
    <t>MEG 317</t>
  </si>
  <si>
    <t>IME 303</t>
  </si>
  <si>
    <t>IME 307</t>
  </si>
  <si>
    <t>IME 207</t>
  </si>
  <si>
    <t>EEG 231</t>
  </si>
  <si>
    <t>EEG 245</t>
  </si>
  <si>
    <t>IME 205</t>
  </si>
  <si>
    <t>IME 203</t>
  </si>
  <si>
    <t>MEC 201</t>
  </si>
  <si>
    <t>IME 201</t>
  </si>
  <si>
    <t>MEC 412</t>
  </si>
  <si>
    <t>MTH 313</t>
  </si>
  <si>
    <t>MEC 313</t>
  </si>
  <si>
    <t>MEC 312</t>
  </si>
  <si>
    <t>MEC 314</t>
  </si>
  <si>
    <t>MEC 214</t>
  </si>
  <si>
    <t>MEC 217</t>
  </si>
  <si>
    <t>MEC 215</t>
  </si>
  <si>
    <t>MTH 202</t>
  </si>
  <si>
    <t>EEC 125</t>
  </si>
  <si>
    <t>MEC 212</t>
  </si>
  <si>
    <t>MEC 213</t>
  </si>
  <si>
    <t>MEC 113</t>
  </si>
  <si>
    <t>MET 101</t>
  </si>
  <si>
    <t>EED 413</t>
  </si>
  <si>
    <t>MTH 213</t>
  </si>
  <si>
    <t>POPULATION</t>
  </si>
  <si>
    <t>NOTE:</t>
  </si>
  <si>
    <t>ALWAYS CHECK THE TIME TABLE REGULARLY FOR ANY POSSIBLE AMENDMENT.</t>
  </si>
  <si>
    <t>HND2</t>
  </si>
  <si>
    <t>MEC 103</t>
  </si>
  <si>
    <t>MEC 205</t>
  </si>
  <si>
    <t>IME 413</t>
  </si>
  <si>
    <t>IME 407</t>
  </si>
  <si>
    <t>IME 409</t>
  </si>
  <si>
    <t>HMEM2</t>
  </si>
  <si>
    <t xml:space="preserve">HMEP2 </t>
  </si>
  <si>
    <t>HMEM1</t>
  </si>
  <si>
    <t>HMEP1</t>
  </si>
  <si>
    <t>MEP 413</t>
  </si>
  <si>
    <t>MEM 411</t>
  </si>
  <si>
    <t>MEP 411</t>
  </si>
  <si>
    <t>EEC 442</t>
  </si>
  <si>
    <t>MEP 412</t>
  </si>
  <si>
    <t>MEM 412</t>
  </si>
  <si>
    <t>MEM 413</t>
  </si>
  <si>
    <t>ND2</t>
  </si>
  <si>
    <t>ND1</t>
  </si>
  <si>
    <t>MEC 203</t>
  </si>
  <si>
    <t>HND1</t>
  </si>
  <si>
    <t>CHEM 101</t>
  </si>
  <si>
    <t>MET 209</t>
  </si>
  <si>
    <t>MET 207</t>
  </si>
  <si>
    <t>MET 203</t>
  </si>
  <si>
    <t>MET 201</t>
  </si>
  <si>
    <t>MET 309</t>
  </si>
  <si>
    <t>MET 303</t>
  </si>
  <si>
    <t>MET 311</t>
  </si>
  <si>
    <t>MET 307</t>
  </si>
  <si>
    <t>MET 305</t>
  </si>
  <si>
    <t>MET 301</t>
  </si>
  <si>
    <t>EEI 431</t>
  </si>
  <si>
    <t>EEC 433</t>
  </si>
  <si>
    <t>EEP439/ EEE434</t>
  </si>
  <si>
    <t>EEE 314</t>
  </si>
  <si>
    <t>EEP 328</t>
  </si>
  <si>
    <t>EEC 114</t>
  </si>
  <si>
    <t>AFTERNOON PAPERS ON FRIDAYS STARTS @ 3.00PM</t>
  </si>
  <si>
    <t>EEE 315</t>
  </si>
  <si>
    <t>CTE 313</t>
  </si>
  <si>
    <t>CTE 314</t>
  </si>
  <si>
    <t>EEC 239</t>
  </si>
  <si>
    <t>1.30pm – 4.30pm</t>
  </si>
  <si>
    <t>MTH 421</t>
  </si>
  <si>
    <t>WEC 111</t>
  </si>
  <si>
    <t>WEC 112</t>
  </si>
  <si>
    <t>WEC 113</t>
  </si>
  <si>
    <t xml:space="preserve"> MECHANICAL</t>
  </si>
  <si>
    <t>MCE  111</t>
  </si>
  <si>
    <t>MEC   214</t>
  </si>
  <si>
    <t>WEC  211</t>
  </si>
  <si>
    <t>MEC   217</t>
  </si>
  <si>
    <t>MTH 321</t>
  </si>
  <si>
    <t>MET 403</t>
  </si>
  <si>
    <t>MET 405</t>
  </si>
  <si>
    <t>MET 407</t>
  </si>
  <si>
    <t>MET 409</t>
  </si>
  <si>
    <t>MET 411</t>
  </si>
  <si>
    <t>CTE   101</t>
  </si>
  <si>
    <t>CTE 302</t>
  </si>
  <si>
    <t>CTE 101</t>
  </si>
  <si>
    <t>CTE 301</t>
  </si>
  <si>
    <t>EEC    115</t>
  </si>
  <si>
    <t>WEC 110</t>
  </si>
  <si>
    <t>MCE 113</t>
  </si>
  <si>
    <t>WEC 212</t>
  </si>
  <si>
    <t>EEC    112</t>
  </si>
  <si>
    <t>WEC 210</t>
  </si>
  <si>
    <t>MTH 401</t>
  </si>
  <si>
    <t>CIVIL</t>
  </si>
  <si>
    <t>CHE 101</t>
  </si>
  <si>
    <t>CHE 111</t>
  </si>
  <si>
    <t>CHE 103</t>
  </si>
  <si>
    <t>CHE 209</t>
  </si>
  <si>
    <t>CHE 211</t>
  </si>
  <si>
    <t>CHE 203</t>
  </si>
  <si>
    <t>CHE 207</t>
  </si>
  <si>
    <t>CHE 205</t>
  </si>
  <si>
    <t>CHE 215</t>
  </si>
  <si>
    <t>CHE 201</t>
  </si>
  <si>
    <t>CEC 201</t>
  </si>
  <si>
    <t>CEC 211</t>
  </si>
  <si>
    <t>CEC 207</t>
  </si>
  <si>
    <t>MEC 207</t>
  </si>
  <si>
    <t>MAR 203</t>
  </si>
  <si>
    <t>MGS 201</t>
  </si>
  <si>
    <t>MAR 201</t>
  </si>
  <si>
    <t>MAR 207</t>
  </si>
  <si>
    <t>CEC 103</t>
  </si>
  <si>
    <t>CEC 101</t>
  </si>
  <si>
    <t>CEC 105</t>
  </si>
  <si>
    <t>CEC 107</t>
  </si>
  <si>
    <t>CEC 417</t>
  </si>
  <si>
    <t>CEC 409</t>
  </si>
  <si>
    <t>CEC 407</t>
  </si>
  <si>
    <t>CEC 413</t>
  </si>
  <si>
    <t>CEC 405</t>
  </si>
  <si>
    <t>CEC 411</t>
  </si>
  <si>
    <t>CEC 401</t>
  </si>
  <si>
    <t>CEC 403</t>
  </si>
  <si>
    <t>CEC 421</t>
  </si>
  <si>
    <t>CEC 305</t>
  </si>
  <si>
    <t>CEC 307</t>
  </si>
  <si>
    <t>CEC 313</t>
  </si>
  <si>
    <t>CEC 309</t>
  </si>
  <si>
    <t>CEC 301</t>
  </si>
  <si>
    <t>CEC 311</t>
  </si>
  <si>
    <t>CEC 303</t>
  </si>
  <si>
    <t>MET 401</t>
  </si>
  <si>
    <t>ND3</t>
  </si>
  <si>
    <t>CLASS SIZE</t>
  </si>
  <si>
    <t>EEP 436 / EEE 435</t>
  </si>
  <si>
    <t>EED 216/ GNS 201</t>
  </si>
  <si>
    <t>EED216/ GNS201</t>
  </si>
  <si>
    <t>GNS101 /GNS127</t>
  </si>
  <si>
    <t>CEC 203</t>
  </si>
  <si>
    <t>CEC 205</t>
  </si>
  <si>
    <t>MCE 117</t>
  </si>
  <si>
    <t xml:space="preserve">Day 1 </t>
  </si>
  <si>
    <t xml:space="preserve">Day 4 </t>
  </si>
  <si>
    <t xml:space="preserve">Day 5 </t>
  </si>
  <si>
    <t xml:space="preserve">Day 6 </t>
  </si>
  <si>
    <t xml:space="preserve">Day 7  </t>
  </si>
  <si>
    <t xml:space="preserve">Day 8  </t>
  </si>
  <si>
    <t xml:space="preserve">Day 9 </t>
  </si>
  <si>
    <t xml:space="preserve">Day 10  </t>
  </si>
  <si>
    <t>STA 114</t>
  </si>
  <si>
    <t>MTH 203</t>
  </si>
  <si>
    <t>MET 205</t>
  </si>
  <si>
    <t>1.30pm   –   4.30pm</t>
  </si>
  <si>
    <t>3pm     –     6pm</t>
  </si>
  <si>
    <t>MAR 113</t>
  </si>
  <si>
    <t>IME 200</t>
  </si>
  <si>
    <t>IME 400</t>
  </si>
  <si>
    <t>EED 415</t>
  </si>
  <si>
    <t>EED416/ GNS401</t>
  </si>
  <si>
    <t>CTE 111</t>
  </si>
  <si>
    <t>CTE 112</t>
  </si>
  <si>
    <t>CTE 231</t>
  </si>
  <si>
    <t>CTE 233</t>
  </si>
  <si>
    <t>CTE 234</t>
  </si>
  <si>
    <t>CTE 235</t>
  </si>
  <si>
    <t>CTE 312</t>
  </si>
  <si>
    <t>CTE 311</t>
  </si>
  <si>
    <t>CTE 315</t>
  </si>
  <si>
    <t>CTE 316</t>
  </si>
  <si>
    <t>CTE 317</t>
  </si>
  <si>
    <t>EED 413/ GNS 401</t>
  </si>
  <si>
    <t>CTE 431</t>
  </si>
  <si>
    <t>CTE 432</t>
  </si>
  <si>
    <t>CTE 433</t>
  </si>
  <si>
    <t>CTE 434</t>
  </si>
  <si>
    <t>CTE 435</t>
  </si>
  <si>
    <t>CEC  315</t>
  </si>
  <si>
    <t>CEC 213</t>
  </si>
  <si>
    <t>MEC 114</t>
  </si>
  <si>
    <t>MEC 413</t>
  </si>
  <si>
    <t>MEC 414</t>
  </si>
  <si>
    <t>9am      - 12noon</t>
  </si>
  <si>
    <t>9am      – 12noon</t>
  </si>
  <si>
    <t>9am         -    12noon</t>
  </si>
  <si>
    <t>9am       -     12noon</t>
  </si>
  <si>
    <t>9am            -          12noon</t>
  </si>
  <si>
    <t>EEP438/ EEE437</t>
  </si>
  <si>
    <t>MARINE</t>
  </si>
  <si>
    <t>MET</t>
  </si>
  <si>
    <t>I. M. E.</t>
  </si>
  <si>
    <t>ELECT/ELECT</t>
  </si>
  <si>
    <t>COMPUTER</t>
  </si>
  <si>
    <t>CHEMICAL</t>
  </si>
  <si>
    <t>3Pm         -         6pm</t>
  </si>
  <si>
    <t>CTE 236/ CTE 201</t>
  </si>
  <si>
    <t>CTE 232/ EEC 237</t>
  </si>
  <si>
    <t>CTE 115/ MEC 107</t>
  </si>
  <si>
    <t>CTE 114/ STA 111</t>
  </si>
  <si>
    <t>CTE 113</t>
  </si>
  <si>
    <t>EEC 112</t>
  </si>
  <si>
    <t>9am          –     12noon</t>
  </si>
  <si>
    <t>GNS101/ GNS111</t>
  </si>
  <si>
    <t>Day 3</t>
  </si>
  <si>
    <t>Day 2</t>
  </si>
  <si>
    <t>9am            -       12noon</t>
  </si>
  <si>
    <t>GNS 201/ EED 216</t>
  </si>
  <si>
    <t>GNS101/ GNS127</t>
  </si>
  <si>
    <t>GNS 120</t>
  </si>
  <si>
    <t>RAILWAY</t>
  </si>
  <si>
    <t>CEC 108</t>
  </si>
  <si>
    <t>ICT 101</t>
  </si>
  <si>
    <t>RWE 111</t>
  </si>
  <si>
    <t>RWE 112</t>
  </si>
  <si>
    <t>9am          -        12noon</t>
  </si>
  <si>
    <t>MECHAT</t>
  </si>
  <si>
    <t>WELD&amp;FAB</t>
  </si>
  <si>
    <t>ICT 301</t>
  </si>
  <si>
    <t>WEC 311</t>
  </si>
  <si>
    <t>WEC 313</t>
  </si>
  <si>
    <t>WEC 312</t>
  </si>
  <si>
    <t>WEC 310</t>
  </si>
  <si>
    <t>MEC 301</t>
  </si>
  <si>
    <t>GNS301 EED 413</t>
  </si>
  <si>
    <t>MCE 311</t>
  </si>
  <si>
    <t>MCE 312</t>
  </si>
  <si>
    <t>MCE 313</t>
  </si>
  <si>
    <t>MCE 314</t>
  </si>
  <si>
    <t>MCE 315</t>
  </si>
  <si>
    <t>MCE 316</t>
  </si>
  <si>
    <t>MCE 112</t>
  </si>
  <si>
    <t>MCE 116</t>
  </si>
  <si>
    <t>MCE 212</t>
  </si>
  <si>
    <t>MCE 213</t>
  </si>
  <si>
    <t>MCE 214</t>
  </si>
  <si>
    <t>MCE 215</t>
  </si>
  <si>
    <t>MCE 216</t>
  </si>
  <si>
    <t>MCE 217</t>
  </si>
  <si>
    <t>MCE 218</t>
  </si>
  <si>
    <t>MIN &amp; PET</t>
  </si>
  <si>
    <t>GNS101 GNS111</t>
  </si>
  <si>
    <t>MPE 103</t>
  </si>
  <si>
    <t>MPE 105</t>
  </si>
  <si>
    <t>STA114</t>
  </si>
  <si>
    <t>MPE 107</t>
  </si>
  <si>
    <t>MPE 109</t>
  </si>
  <si>
    <t>MPE 101</t>
  </si>
  <si>
    <t>ENT 216</t>
  </si>
  <si>
    <t>MPE 201</t>
  </si>
  <si>
    <t>MPE 205</t>
  </si>
  <si>
    <t>MPE 207</t>
  </si>
  <si>
    <t>MPE 209</t>
  </si>
  <si>
    <t>MPE 211</t>
  </si>
  <si>
    <t>MPE 213</t>
  </si>
  <si>
    <t>MPE 215</t>
  </si>
  <si>
    <t>MTH 412</t>
  </si>
  <si>
    <t>MEM 415</t>
  </si>
  <si>
    <t>MEC 318</t>
  </si>
  <si>
    <t>MEC 216</t>
  </si>
  <si>
    <t>MPE 217</t>
  </si>
  <si>
    <t>AA8</t>
  </si>
  <si>
    <t>AA9</t>
  </si>
  <si>
    <t>AA10</t>
  </si>
  <si>
    <t>AA11</t>
  </si>
  <si>
    <t>AA12</t>
  </si>
  <si>
    <t>AA13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</si>
  <si>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</si>
  <si>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</si>
  <si>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</si>
  <si>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</si>
  <si>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</si>
  <si>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</si>
  <si>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</si>
  <si>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</si>
  <si>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</si>
  <si>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</si>
  <si>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</si>
  <si>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AA28</t>
  </si>
  <si>
    <t>AA30</t>
  </si>
  <si>
    <t>AA31</t>
  </si>
  <si>
    <t>AA32</t>
  </si>
  <si>
    <t>AA33</t>
  </si>
  <si>
    <t>AA34</t>
  </si>
  <si>
    <t>AA35</t>
  </si>
  <si>
    <t>AA36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</si>
  <si>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</si>
  <si>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</si>
  <si>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</si>
  <si>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</si>
  <si>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</si>
  <si>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</si>
  <si>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</si>
  <si>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</si>
  <si>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</si>
  <si>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</si>
  <si>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</si>
  <si>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AA15</t>
  </si>
  <si>
    <t>AA14</t>
  </si>
  <si>
    <t>SCHOOL OF ENGINEERING</t>
  </si>
  <si>
    <t>CBT EXAM</t>
  </si>
  <si>
    <t>CBT DAY</t>
  </si>
  <si>
    <t>9am          –      12noon</t>
  </si>
  <si>
    <t>**********</t>
  </si>
  <si>
    <t>WEC 411</t>
  </si>
  <si>
    <t>WEC 412</t>
  </si>
  <si>
    <t>WEC 413</t>
  </si>
  <si>
    <t xml:space="preserve">SCHOOL OF ENGINEERING SCHOOL EXAMINATIONS COMMITTEE </t>
  </si>
  <si>
    <t>CLASSES</t>
  </si>
  <si>
    <t xml:space="preserve">DAY 0 </t>
  </si>
  <si>
    <t>9am - 12pm</t>
  </si>
  <si>
    <t>1.30 - 4.30 pm</t>
  </si>
  <si>
    <t>COMP</t>
  </si>
  <si>
    <t>MEC 102</t>
  </si>
  <si>
    <t>ELECT</t>
  </si>
  <si>
    <t>I.M.E</t>
  </si>
  <si>
    <t>MECH</t>
  </si>
  <si>
    <t>MAR</t>
  </si>
  <si>
    <t>MECHA</t>
  </si>
  <si>
    <t>WELDF</t>
  </si>
  <si>
    <t>CAPACITY</t>
  </si>
  <si>
    <t>FIRST SEMESTER 2025/2026 [FULL-TIME] EXAMINATIONS TIME-TABLE</t>
  </si>
  <si>
    <t>11/06/26</t>
  </si>
  <si>
    <t>FOOD TECH</t>
  </si>
  <si>
    <t>MEC 101</t>
  </si>
  <si>
    <t>RWE 211</t>
  </si>
  <si>
    <t>RWE 212</t>
  </si>
  <si>
    <t>RWE 214</t>
  </si>
  <si>
    <t>MTH 114</t>
  </si>
  <si>
    <t>RWE 213</t>
  </si>
  <si>
    <t>RWE 126</t>
  </si>
  <si>
    <t>MCE 414</t>
  </si>
  <si>
    <t>MCE 411</t>
  </si>
  <si>
    <t>MCE 412</t>
  </si>
  <si>
    <t>MCE 413</t>
  </si>
  <si>
    <t>MAR 317</t>
  </si>
  <si>
    <t>MAR 314</t>
  </si>
  <si>
    <t>MAR 403</t>
  </si>
  <si>
    <t>MEA 321</t>
  </si>
  <si>
    <t>MEC 305</t>
  </si>
  <si>
    <t xml:space="preserve">MAR 413 </t>
  </si>
  <si>
    <t>MEP 323</t>
  </si>
  <si>
    <t>MAR 311</t>
  </si>
  <si>
    <t>MSQ 311</t>
  </si>
  <si>
    <t>MAR 312</t>
  </si>
  <si>
    <t>MAR 313</t>
  </si>
  <si>
    <t>MAR 315</t>
  </si>
  <si>
    <t>SMC 311</t>
  </si>
  <si>
    <t>MTH 312</t>
  </si>
  <si>
    <t>MEC 403</t>
  </si>
  <si>
    <t>GNS 401</t>
  </si>
  <si>
    <t>MTH 314</t>
  </si>
  <si>
    <t>MAR 205</t>
  </si>
  <si>
    <t>MAR 111</t>
  </si>
  <si>
    <t>MAR 112</t>
  </si>
  <si>
    <t>COM 111</t>
  </si>
  <si>
    <t>FRL 111</t>
  </si>
  <si>
    <t>MEC 211</t>
  </si>
  <si>
    <t xml:space="preserve">MEC 101 </t>
  </si>
  <si>
    <t>CEC 209</t>
  </si>
  <si>
    <t>EED 416</t>
  </si>
  <si>
    <t>MAR 416</t>
  </si>
  <si>
    <t>MSQ 111</t>
  </si>
  <si>
    <t>PTD 111</t>
  </si>
  <si>
    <t>SCHOOL OF ENGINEERING FULL-TIME EXAMINATION TIME TABLE - 1ST SEMESTER 2025/2026 SESSION</t>
  </si>
  <si>
    <t>1.30pm          –          4.30pm</t>
  </si>
  <si>
    <t>1.30pm    -    4.30pm</t>
  </si>
  <si>
    <t>AA37</t>
  </si>
  <si>
    <t>AA49</t>
  </si>
  <si>
    <t>AA50</t>
  </si>
  <si>
    <t>AA51</t>
  </si>
  <si>
    <t>WEC 410</t>
  </si>
  <si>
    <t xml:space="preserve"> </t>
  </si>
  <si>
    <t xml:space="preserve">MEC </t>
  </si>
  <si>
    <t>AS AT  8TH JUNE, 2026.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</si>
  <si>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</si>
  <si>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</si>
  <si>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</si>
  <si>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</si>
  <si>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</si>
  <si>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</si>
  <si>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</si>
  <si>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</si>
  <si>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</si>
  <si>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</si>
  <si>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MCA 416 /MCI 416</t>
  </si>
  <si>
    <t>MCA 415 /MCI 415</t>
  </si>
  <si>
    <t>MCA 417 /MCI 417</t>
  </si>
  <si>
    <t>CTE 212</t>
  </si>
  <si>
    <t>MCE 219</t>
  </si>
  <si>
    <t>MCE 115</t>
  </si>
  <si>
    <t xml:space="preserve"> AS AT JUNE 16,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</si>
</sst>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#,###"/>
  </numFmts>
  <fonts count="27" x14ac:knownFonts="1">
    <font>
      <sz val="11"/>
      <name val="Arial"/>
      <family val="2"/>
    </font>
    <font>
      <sz val="10"/>
      <name val="Arial"/>
      <family val="2"/>
    </font>
    <font>
      <sz val="14"/>
      <name val="Arial Black"/>
      <family val="2"/>
    </font>
    <font>
      <b/>
      <sz val="20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14"/>
      <name val="Arial"/>
      <family val="2"/>
    </font>
    <font>
      <sz val="28"/>
      <name val="Arial Black"/>
      <family val="2"/>
    </font>
    <font>
      <i/>
      <sz val="28"/>
      <name val="Arial Black"/>
      <family val="2"/>
    </font>
    <font>
      <sz val="28"/>
      <color theme="1"/>
      <name val="Arial Black"/>
      <family val="2"/>
    </font>
    <font>
      <b/>
      <sz val="27"/>
      <name val="Arial Black"/>
      <family val="2"/>
    </font>
    <font>
      <b/>
      <sz val="27"/>
      <name val="Arial"/>
      <family val="2"/>
    </font>
    <font>
      <b/>
      <sz val="25"/>
      <name val="Arial Black"/>
      <family val="2"/>
    </font>
    <font>
      <sz val="72"/>
      <name val="Arial Black"/>
      <family val="2"/>
    </font>
    <font>
      <sz val="30"/>
      <name val="Arial Black"/>
      <family val="2"/>
    </font>
    <font>
      <b/>
      <sz val="34"/>
      <name val="Arial Black"/>
      <family val="2"/>
    </font>
    <font>
      <sz val="22"/>
      <name val="Arial"/>
      <family val="2"/>
    </font>
    <font>
      <sz val="26"/>
      <name val="Arial"/>
      <family val="2"/>
    </font>
    <font>
      <b/>
      <sz val="10"/>
      <name val="Arial"/>
      <family val="2"/>
    </font>
    <font>
      <sz val="10"/>
      <name val="Arial Black"/>
      <family val="2"/>
    </font>
    <font>
      <sz val="9"/>
      <name val="Arial Black"/>
      <family val="2"/>
    </font>
    <font>
      <b/>
      <sz val="12"/>
      <name val="Arial"/>
      <family val="2"/>
    </font>
    <font>
      <sz val="8"/>
      <name val="Arial"/>
      <family val="2"/>
    </font>
    <font>
      <sz val="28"/>
      <color rgb="FFFF0000"/>
      <name val="Arial Black"/>
      <family val="2"/>
    </font>
    <font>
      <b/>
      <sz val="11"/>
      <name val="Arial"/>
      <family val="2"/>
    </font>
    <font>
      <b/>
      <sz val="22"/>
      <name val="Arial"/>
      <family val="2"/>
    </font>
    <font>
      <b/>
      <sz val="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2">
    <border>
      <left/>
      <right/>
      <top/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3"/>
      </bottom>
      <diagonal/>
    </border>
    <border>
      <left style="medium">
        <color indexed="64"/>
      </left>
      <right/>
      <top/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 style="medium">
        <color indexed="64"/>
      </left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/>
      <diagonal/>
    </border>
    <border>
      <left style="medium">
        <color indexed="63"/>
      </left>
      <right style="medium">
        <color indexed="64"/>
      </right>
      <top/>
      <bottom/>
      <diagonal/>
    </border>
    <border>
      <left style="medium">
        <color indexed="63"/>
      </left>
      <right style="medium">
        <color indexed="64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 style="medium">
        <color indexed="64"/>
      </bottom>
      <diagonal/>
    </border>
    <border>
      <left style="medium">
        <color indexed="63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3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3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3"/>
      </left>
      <right style="medium">
        <color indexed="63"/>
      </right>
      <top style="medium">
        <color indexed="64"/>
      </top>
      <bottom/>
      <diagonal/>
    </border>
    <border>
      <left style="medium">
        <color indexed="64"/>
      </left>
      <right style="thin">
        <color indexed="63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3"/>
      </right>
      <top style="medium">
        <color indexed="63"/>
      </top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4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/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medium">
        <color indexed="63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2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4" fontId="7" fillId="0" borderId="31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/>
    <xf numFmtId="164" fontId="7" fillId="0" borderId="10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center" vertical="center"/>
    </xf>
    <xf numFmtId="165" fontId="7" fillId="0" borderId="22" xfId="0" applyNumberFormat="1" applyFont="1" applyBorder="1" applyAlignment="1">
      <alignment horizontal="center" vertical="center"/>
    </xf>
    <xf numFmtId="164" fontId="10" fillId="0" borderId="30" xfId="0" applyNumberFormat="1" applyFont="1" applyBorder="1" applyAlignment="1">
      <alignment horizontal="center" vertical="center" wrapText="1"/>
    </xf>
    <xf numFmtId="164" fontId="10" fillId="0" borderId="2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2" xfId="0" applyNumberFormat="1" applyFont="1" applyBorder="1" applyAlignment="1">
      <alignment horizontal="center" vertical="center"/>
    </xf>
    <xf numFmtId="164" fontId="7" fillId="0" borderId="33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7" fillId="0" borderId="0" xfId="0" applyFont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5" fontId="7" fillId="4" borderId="16" xfId="0" applyNumberFormat="1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164" fontId="7" fillId="6" borderId="12" xfId="0" applyNumberFormat="1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164" fontId="12" fillId="0" borderId="30" xfId="0" applyNumberFormat="1" applyFont="1" applyBorder="1" applyAlignment="1">
      <alignment horizontal="center" vertical="center" wrapText="1"/>
    </xf>
    <xf numFmtId="164" fontId="7" fillId="7" borderId="12" xfId="0" applyNumberFormat="1" applyFont="1" applyFill="1" applyBorder="1" applyAlignment="1">
      <alignment horizontal="center" vertical="center" wrapText="1"/>
    </xf>
    <xf numFmtId="164" fontId="7" fillId="7" borderId="8" xfId="0" applyNumberFormat="1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7" borderId="1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4" fontId="7" fillId="2" borderId="18" xfId="0" applyNumberFormat="1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164" fontId="7" fillId="6" borderId="10" xfId="0" applyNumberFormat="1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164" fontId="7" fillId="0" borderId="38" xfId="0" applyNumberFormat="1" applyFont="1" applyBorder="1" applyAlignment="1">
      <alignment horizontal="center" vertical="center" wrapText="1"/>
    </xf>
    <xf numFmtId="0" fontId="0" fillId="0" borderId="12" xfId="0" applyBorder="1"/>
    <xf numFmtId="0" fontId="7" fillId="0" borderId="39" xfId="0" applyFont="1" applyBorder="1" applyAlignment="1">
      <alignment horizontal="center" vertical="center" wrapText="1"/>
    </xf>
    <xf numFmtId="164" fontId="7" fillId="0" borderId="39" xfId="0" applyNumberFormat="1" applyFont="1" applyBorder="1" applyAlignment="1">
      <alignment horizontal="center" vertical="center" wrapText="1"/>
    </xf>
    <xf numFmtId="164" fontId="7" fillId="6" borderId="39" xfId="0" applyNumberFormat="1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40" xfId="0" applyNumberFormat="1" applyFont="1" applyBorder="1" applyAlignment="1">
      <alignment horizontal="center" vertical="center" wrapText="1"/>
    </xf>
    <xf numFmtId="164" fontId="7" fillId="6" borderId="40" xfId="0" applyNumberFormat="1" applyFont="1" applyFill="1" applyBorder="1" applyAlignment="1">
      <alignment horizontal="center" vertical="center" wrapText="1"/>
    </xf>
    <xf numFmtId="164" fontId="7" fillId="2" borderId="40" xfId="0" applyNumberFormat="1" applyFont="1" applyFill="1" applyBorder="1" applyAlignment="1">
      <alignment horizontal="center" vertical="center" wrapText="1"/>
    </xf>
    <xf numFmtId="164" fontId="7" fillId="8" borderId="12" xfId="0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164" fontId="7" fillId="8" borderId="2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9" fillId="9" borderId="18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64" fontId="7" fillId="6" borderId="22" xfId="0" applyNumberFormat="1" applyFont="1" applyFill="1" applyBorder="1" applyAlignment="1">
      <alignment horizontal="center" vertical="center" wrapText="1"/>
    </xf>
    <xf numFmtId="0" fontId="0" fillId="0" borderId="22" xfId="0" applyBorder="1"/>
    <xf numFmtId="164" fontId="7" fillId="0" borderId="47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7" fillId="0" borderId="20" xfId="0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 wrapText="1"/>
    </xf>
    <xf numFmtId="0" fontId="7" fillId="0" borderId="30" xfId="0" applyFont="1" applyBorder="1" applyAlignment="1" applyProtection="1">
      <alignment horizontal="center" vertical="center" wrapText="1"/>
    </xf>
    <xf numFmtId="164" fontId="7" fillId="9" borderId="18" xfId="0" applyNumberFormat="1" applyFont="1" applyFill="1" applyBorder="1" applyAlignment="1">
      <alignment horizontal="center" vertical="center" wrapText="1"/>
    </xf>
    <xf numFmtId="164" fontId="7" fillId="0" borderId="20" xfId="0" applyNumberFormat="1" applyFont="1" applyBorder="1" applyAlignment="1">
      <alignment horizontal="center" vertical="center" wrapText="1"/>
    </xf>
    <xf numFmtId="164" fontId="7" fillId="4" borderId="20" xfId="0" applyNumberFormat="1" applyFont="1" applyFill="1" applyBorder="1" applyAlignment="1">
      <alignment horizontal="center" vertical="center" wrapText="1"/>
    </xf>
    <xf numFmtId="0" fontId="0" fillId="4" borderId="20" xfId="0" applyFill="1" applyBorder="1"/>
    <xf numFmtId="164" fontId="7" fillId="2" borderId="20" xfId="0" applyNumberFormat="1" applyFont="1" applyFill="1" applyBorder="1" applyAlignment="1">
      <alignment horizontal="center" vertical="center" wrapText="1"/>
    </xf>
    <xf numFmtId="0" fontId="0" fillId="0" borderId="20" xfId="0" applyBorder="1"/>
    <xf numFmtId="164" fontId="7" fillId="0" borderId="18" xfId="0" applyNumberFormat="1" applyFont="1" applyBorder="1" applyAlignment="1">
      <alignment horizontal="center" vertical="center" wrapText="1"/>
    </xf>
    <xf numFmtId="164" fontId="7" fillId="0" borderId="50" xfId="0" applyNumberFormat="1" applyFont="1" applyBorder="1" applyAlignment="1">
      <alignment horizontal="center" vertical="center"/>
    </xf>
    <xf numFmtId="164" fontId="7" fillId="0" borderId="49" xfId="0" applyNumberFormat="1" applyFont="1" applyBorder="1" applyAlignment="1">
      <alignment horizontal="center" vertical="center"/>
    </xf>
    <xf numFmtId="0" fontId="0" fillId="0" borderId="51" xfId="0" applyBorder="1"/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3" xfId="0" applyFont="1" applyBorder="1" applyAlignment="1" applyProtection="1">
      <alignment horizontal="center" vertical="center" wrapText="1"/>
    </xf>
    <xf numFmtId="165" fontId="7" fillId="4" borderId="61" xfId="0" applyNumberFormat="1" applyFont="1" applyFill="1" applyBorder="1" applyAlignment="1">
      <alignment horizontal="center" vertical="center"/>
    </xf>
    <xf numFmtId="164" fontId="7" fillId="4" borderId="20" xfId="0" applyNumberFormat="1" applyFont="1" applyFill="1" applyBorder="1" applyAlignment="1">
      <alignment horizontal="center" vertical="center"/>
    </xf>
    <xf numFmtId="164" fontId="10" fillId="4" borderId="20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164" fontId="7" fillId="4" borderId="37" xfId="0" applyNumberFormat="1" applyFont="1" applyFill="1" applyBorder="1" applyAlignment="1">
      <alignment horizontal="center" vertical="center" wrapText="1"/>
    </xf>
    <xf numFmtId="0" fontId="0" fillId="4" borderId="37" xfId="0" applyFill="1" applyBorder="1"/>
    <xf numFmtId="0" fontId="16" fillId="0" borderId="0" xfId="0" applyFont="1"/>
    <xf numFmtId="0" fontId="17" fillId="0" borderId="0" xfId="0" applyFont="1"/>
    <xf numFmtId="49" fontId="0" fillId="0" borderId="0" xfId="0" applyNumberFormat="1"/>
    <xf numFmtId="164" fontId="7" fillId="10" borderId="12" xfId="0" applyNumberFormat="1" applyFont="1" applyFill="1" applyBorder="1" applyAlignment="1">
      <alignment horizontal="center" vertical="center" wrapText="1"/>
    </xf>
    <xf numFmtId="164" fontId="7" fillId="11" borderId="12" xfId="0" applyNumberFormat="1" applyFont="1" applyFill="1" applyBorder="1" applyAlignment="1">
      <alignment horizontal="center" vertical="center" wrapText="1"/>
    </xf>
    <xf numFmtId="164" fontId="7" fillId="7" borderId="31" xfId="0" applyNumberFormat="1" applyFont="1" applyFill="1" applyBorder="1" applyAlignment="1">
      <alignment horizontal="center" vertical="center" wrapText="1"/>
    </xf>
    <xf numFmtId="0" fontId="0" fillId="0" borderId="62" xfId="0" applyBorder="1"/>
    <xf numFmtId="0" fontId="0" fillId="0" borderId="3" xfId="0" applyBorder="1"/>
    <xf numFmtId="164" fontId="7" fillId="0" borderId="3" xfId="0" applyNumberFormat="1" applyFont="1" applyBorder="1" applyAlignment="1">
      <alignment horizontal="center" vertical="center" wrapText="1"/>
    </xf>
    <xf numFmtId="164" fontId="7" fillId="0" borderId="34" xfId="0" applyNumberFormat="1" applyFont="1" applyBorder="1" applyAlignment="1">
      <alignment horizontal="center" vertical="center" wrapText="1"/>
    </xf>
    <xf numFmtId="164" fontId="7" fillId="6" borderId="20" xfId="0" applyNumberFormat="1" applyFont="1" applyFill="1" applyBorder="1" applyAlignment="1">
      <alignment horizontal="center" vertical="center" wrapText="1"/>
    </xf>
    <xf numFmtId="164" fontId="7" fillId="0" borderId="20" xfId="0" applyNumberFormat="1" applyFont="1" applyFill="1" applyBorder="1" applyAlignment="1">
      <alignment horizontal="center" vertical="center" wrapText="1"/>
    </xf>
    <xf numFmtId="164" fontId="7" fillId="7" borderId="20" xfId="0" applyNumberFormat="1" applyFont="1" applyFill="1" applyBorder="1" applyAlignment="1">
      <alignment horizontal="center" vertical="center" wrapText="1"/>
    </xf>
    <xf numFmtId="0" fontId="0" fillId="0" borderId="37" xfId="0" applyBorder="1"/>
    <xf numFmtId="164" fontId="7" fillId="0" borderId="37" xfId="0" applyNumberFormat="1" applyFont="1" applyBorder="1" applyAlignment="1">
      <alignment horizontal="center" vertical="center" wrapText="1"/>
    </xf>
    <xf numFmtId="164" fontId="7" fillId="8" borderId="37" xfId="0" applyNumberFormat="1" applyFont="1" applyFill="1" applyBorder="1" applyAlignment="1">
      <alignment horizontal="center" vertical="center" wrapText="1"/>
    </xf>
    <xf numFmtId="164" fontId="7" fillId="2" borderId="37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64" fontId="7" fillId="0" borderId="42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64" fontId="7" fillId="6" borderId="18" xfId="0" applyNumberFormat="1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164" fontId="7" fillId="7" borderId="18" xfId="0" applyNumberFormat="1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164" fontId="7" fillId="9" borderId="1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4" borderId="20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 wrapText="1"/>
    </xf>
    <xf numFmtId="164" fontId="7" fillId="11" borderId="18" xfId="0" applyNumberFormat="1" applyFont="1" applyFill="1" applyBorder="1" applyAlignment="1">
      <alignment horizontal="center" vertical="center" wrapText="1"/>
    </xf>
    <xf numFmtId="164" fontId="7" fillId="6" borderId="36" xfId="0" applyNumberFormat="1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0" fillId="0" borderId="8" xfId="0" applyBorder="1"/>
    <xf numFmtId="0" fontId="7" fillId="8" borderId="8" xfId="0" applyFont="1" applyFill="1" applyBorder="1" applyAlignment="1">
      <alignment horizontal="center" vertical="center" wrapText="1"/>
    </xf>
    <xf numFmtId="164" fontId="7" fillId="11" borderId="20" xfId="0" applyNumberFormat="1" applyFont="1" applyFill="1" applyBorder="1" applyAlignment="1">
      <alignment horizontal="center" vertical="center" wrapText="1"/>
    </xf>
    <xf numFmtId="0" fontId="7" fillId="0" borderId="46" xfId="0" applyFont="1" applyBorder="1" applyAlignment="1" applyProtection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0" fontId="0" fillId="0" borderId="19" xfId="0" applyBorder="1"/>
    <xf numFmtId="164" fontId="7" fillId="0" borderId="19" xfId="0" applyNumberFormat="1" applyFont="1" applyBorder="1" applyAlignment="1">
      <alignment horizontal="center" vertical="center" wrapText="1"/>
    </xf>
    <xf numFmtId="164" fontId="7" fillId="0" borderId="19" xfId="0" applyNumberFormat="1" applyFont="1" applyFill="1" applyBorder="1" applyAlignment="1">
      <alignment horizontal="center" vertical="center" wrapText="1"/>
    </xf>
    <xf numFmtId="164" fontId="7" fillId="7" borderId="19" xfId="0" applyNumberFormat="1" applyFont="1" applyFill="1" applyBorder="1" applyAlignment="1">
      <alignment horizontal="center" vertical="center" wrapText="1"/>
    </xf>
    <xf numFmtId="164" fontId="7" fillId="6" borderId="38" xfId="0" applyNumberFormat="1" applyFont="1" applyFill="1" applyBorder="1" applyAlignment="1">
      <alignment horizontal="center" vertical="center" wrapText="1"/>
    </xf>
    <xf numFmtId="0" fontId="0" fillId="0" borderId="5" xfId="0" applyBorder="1"/>
    <xf numFmtId="164" fontId="7" fillId="0" borderId="5" xfId="0" applyNumberFormat="1" applyFont="1" applyBorder="1" applyAlignment="1">
      <alignment horizontal="center" vertical="center" wrapText="1"/>
    </xf>
    <xf numFmtId="164" fontId="7" fillId="6" borderId="63" xfId="0" applyNumberFormat="1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164" fontId="7" fillId="3" borderId="18" xfId="0" applyNumberFormat="1" applyFont="1" applyFill="1" applyBorder="1" applyAlignment="1">
      <alignment horizontal="center" vertical="center" wrapText="1"/>
    </xf>
    <xf numFmtId="164" fontId="7" fillId="8" borderId="36" xfId="0" applyNumberFormat="1" applyFont="1" applyFill="1" applyBorder="1" applyAlignment="1">
      <alignment horizontal="center" vertical="center" wrapText="1"/>
    </xf>
    <xf numFmtId="164" fontId="7" fillId="8" borderId="8" xfId="0" applyNumberFormat="1" applyFont="1" applyFill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6" borderId="63" xfId="0" applyFont="1" applyFill="1" applyBorder="1" applyAlignment="1">
      <alignment horizontal="center" vertical="center" wrapText="1"/>
    </xf>
    <xf numFmtId="0" fontId="0" fillId="0" borderId="63" xfId="0" applyBorder="1"/>
    <xf numFmtId="164" fontId="7" fillId="0" borderId="63" xfId="0" applyNumberFormat="1" applyFont="1" applyBorder="1" applyAlignment="1">
      <alignment horizontal="center" vertical="center" wrapText="1"/>
    </xf>
    <xf numFmtId="164" fontId="7" fillId="7" borderId="63" xfId="0" applyNumberFormat="1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0" fillId="0" borderId="66" xfId="0" applyBorder="1"/>
    <xf numFmtId="164" fontId="7" fillId="0" borderId="65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0" fontId="18" fillId="0" borderId="71" xfId="0" applyFont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7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textRotation="90" wrapText="1"/>
    </xf>
    <xf numFmtId="0" fontId="21" fillId="0" borderId="75" xfId="0" applyFont="1" applyBorder="1" applyAlignment="1">
      <alignment horizontal="center"/>
    </xf>
    <xf numFmtId="0" fontId="18" fillId="0" borderId="78" xfId="0" applyFont="1" applyBorder="1" applyAlignment="1">
      <alignment horizontal="center" vertical="center" wrapText="1"/>
    </xf>
    <xf numFmtId="0" fontId="20" fillId="0" borderId="7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/>
    </xf>
    <xf numFmtId="0" fontId="0" fillId="0" borderId="6" xfId="0" applyBorder="1"/>
    <xf numFmtId="0" fontId="0" fillId="0" borderId="68" xfId="0" applyBorder="1"/>
    <xf numFmtId="0" fontId="22" fillId="0" borderId="68" xfId="0" applyFont="1" applyBorder="1"/>
    <xf numFmtId="0" fontId="7" fillId="0" borderId="34" xfId="0" applyFont="1" applyBorder="1" applyAlignment="1" applyProtection="1">
      <alignment horizontal="center" vertical="center" wrapText="1"/>
    </xf>
    <xf numFmtId="0" fontId="0" fillId="4" borderId="19" xfId="0" applyFill="1" applyBorder="1"/>
    <xf numFmtId="164" fontId="7" fillId="10" borderId="19" xfId="0" applyNumberFormat="1" applyFont="1" applyFill="1" applyBorder="1" applyAlignment="1">
      <alignment horizontal="center" vertical="center" wrapText="1"/>
    </xf>
    <xf numFmtId="164" fontId="7" fillId="10" borderId="63" xfId="0" applyNumberFormat="1" applyFont="1" applyFill="1" applyBorder="1" applyAlignment="1">
      <alignment horizontal="center" vertical="center" wrapText="1"/>
    </xf>
    <xf numFmtId="164" fontId="7" fillId="11" borderId="63" xfId="0" applyNumberFormat="1" applyFont="1" applyFill="1" applyBorder="1" applyAlignment="1">
      <alignment horizontal="center" vertical="center" wrapText="1"/>
    </xf>
    <xf numFmtId="164" fontId="7" fillId="10" borderId="20" xfId="0" applyNumberFormat="1" applyFont="1" applyFill="1" applyBorder="1" applyAlignment="1">
      <alignment horizontal="center" vertical="center" wrapText="1"/>
    </xf>
    <xf numFmtId="164" fontId="7" fillId="7" borderId="39" xfId="0" applyNumberFormat="1" applyFont="1" applyFill="1" applyBorder="1" applyAlignment="1">
      <alignment horizontal="center" vertical="center" wrapText="1"/>
    </xf>
    <xf numFmtId="164" fontId="7" fillId="10" borderId="65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0" fillId="10" borderId="18" xfId="0" applyFill="1" applyBorder="1"/>
    <xf numFmtId="164" fontId="7" fillId="10" borderId="18" xfId="0" applyNumberFormat="1" applyFont="1" applyFill="1" applyBorder="1" applyAlignment="1">
      <alignment horizontal="center"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7" fillId="7" borderId="63" xfId="0" applyFont="1" applyFill="1" applyBorder="1" applyAlignment="1">
      <alignment horizontal="center" vertical="center" wrapText="1"/>
    </xf>
    <xf numFmtId="164" fontId="7" fillId="10" borderId="40" xfId="0" applyNumberFormat="1" applyFont="1" applyFill="1" applyBorder="1" applyAlignment="1">
      <alignment horizontal="center" vertical="center" wrapText="1"/>
    </xf>
    <xf numFmtId="164" fontId="7" fillId="10" borderId="39" xfId="0" applyNumberFormat="1" applyFont="1" applyFill="1" applyBorder="1" applyAlignment="1">
      <alignment horizontal="center" vertical="center" wrapText="1"/>
    </xf>
    <xf numFmtId="164" fontId="23" fillId="10" borderId="12" xfId="0" applyNumberFormat="1" applyFont="1" applyFill="1" applyBorder="1" applyAlignment="1">
      <alignment horizontal="center" vertical="center" wrapText="1"/>
    </xf>
    <xf numFmtId="164" fontId="7" fillId="5" borderId="39" xfId="0" applyNumberFormat="1" applyFont="1" applyFill="1" applyBorder="1" applyAlignment="1">
      <alignment horizontal="center" vertical="center" wrapText="1"/>
    </xf>
    <xf numFmtId="0" fontId="24" fillId="0" borderId="72" xfId="0" applyFont="1" applyBorder="1"/>
    <xf numFmtId="164" fontId="7" fillId="10" borderId="8" xfId="0" applyNumberFormat="1" applyFont="1" applyFill="1" applyBorder="1" applyAlignment="1">
      <alignment horizontal="center" vertical="center" wrapText="1"/>
    </xf>
    <xf numFmtId="164" fontId="7" fillId="10" borderId="3" xfId="0" applyNumberFormat="1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164" fontId="7" fillId="10" borderId="29" xfId="0" applyNumberFormat="1" applyFont="1" applyFill="1" applyBorder="1" applyAlignment="1">
      <alignment horizontal="center" vertical="center" wrapText="1"/>
    </xf>
    <xf numFmtId="0" fontId="25" fillId="0" borderId="0" xfId="0" applyFont="1"/>
    <xf numFmtId="165" fontId="26" fillId="0" borderId="0" xfId="0" applyNumberFormat="1" applyFont="1"/>
    <xf numFmtId="0" fontId="9" fillId="10" borderId="18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164" fontId="7" fillId="10" borderId="18" xfId="0" applyNumberFormat="1" applyFont="1" applyFill="1" applyBorder="1" applyAlignment="1">
      <alignment horizontal="center" vertical="center" wrapText="1"/>
    </xf>
    <xf numFmtId="164" fontId="7" fillId="10" borderId="18" xfId="0" applyNumberFormat="1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164" fontId="7" fillId="6" borderId="18" xfId="0" applyNumberFormat="1" applyFont="1" applyFill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7" borderId="18" xfId="0" applyNumberFormat="1" applyFont="1" applyFill="1" applyBorder="1" applyAlignment="1">
      <alignment horizontal="center" vertical="center" wrapText="1"/>
    </xf>
    <xf numFmtId="164" fontId="7" fillId="10" borderId="18" xfId="0" applyNumberFormat="1" applyFont="1" applyFill="1" applyBorder="1" applyAlignment="1">
      <alignment horizontal="center" vertical="center" wrapText="1"/>
    </xf>
    <xf numFmtId="164" fontId="7" fillId="4" borderId="20" xfId="0" applyNumberFormat="1" applyFont="1" applyFill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9" xfId="0" applyFont="1" applyBorder="1" applyAlignment="1">
      <alignment horizontal="center" vertical="center" textRotation="90" wrapText="1"/>
    </xf>
    <xf numFmtId="0" fontId="7" fillId="0" borderId="28" xfId="0" applyFont="1" applyBorder="1" applyAlignment="1">
      <alignment horizontal="center" vertical="center" textRotation="90" wrapText="1"/>
    </xf>
    <xf numFmtId="0" fontId="7" fillId="0" borderId="35" xfId="0" applyFont="1" applyBorder="1" applyAlignment="1">
      <alignment horizontal="center" vertical="center" textRotation="90" wrapText="1"/>
    </xf>
    <xf numFmtId="164" fontId="7" fillId="6" borderId="18" xfId="0" applyNumberFormat="1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164" fontId="7" fillId="11" borderId="18" xfId="0" applyNumberFormat="1" applyFont="1" applyFill="1" applyBorder="1" applyAlignment="1">
      <alignment horizontal="center" vertical="center" wrapText="1"/>
    </xf>
    <xf numFmtId="164" fontId="7" fillId="11" borderId="8" xfId="0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48" xfId="0" applyFont="1" applyBorder="1" applyAlignment="1" applyProtection="1">
      <alignment horizontal="center" vertical="center" textRotation="90" wrapText="1"/>
    </xf>
    <xf numFmtId="0" fontId="7" fillId="0" borderId="29" xfId="0" applyFont="1" applyBorder="1" applyAlignment="1" applyProtection="1">
      <alignment horizontal="center" vertical="center" textRotation="90" wrapText="1"/>
    </xf>
    <xf numFmtId="49" fontId="7" fillId="0" borderId="11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wrapText="1"/>
    </xf>
    <xf numFmtId="164" fontId="7" fillId="6" borderId="31" xfId="0" applyNumberFormat="1" applyFont="1" applyFill="1" applyBorder="1" applyAlignment="1">
      <alignment horizontal="center" vertical="center" wrapText="1"/>
    </xf>
    <xf numFmtId="164" fontId="7" fillId="7" borderId="18" xfId="0" applyNumberFormat="1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wrapText="1"/>
    </xf>
    <xf numFmtId="0" fontId="7" fillId="10" borderId="1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164" fontId="7" fillId="10" borderId="18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textRotation="90"/>
    </xf>
    <xf numFmtId="0" fontId="7" fillId="0" borderId="29" xfId="0" applyFont="1" applyBorder="1" applyAlignment="1">
      <alignment horizontal="center" vertical="center" textRotation="90"/>
    </xf>
    <xf numFmtId="0" fontId="7" fillId="0" borderId="19" xfId="0" applyFont="1" applyBorder="1" applyAlignment="1">
      <alignment vertical="center" textRotation="90"/>
    </xf>
    <xf numFmtId="0" fontId="7" fillId="0" borderId="28" xfId="0" applyFont="1" applyBorder="1" applyAlignment="1">
      <alignment vertical="center" textRotation="90"/>
    </xf>
    <xf numFmtId="0" fontId="7" fillId="0" borderId="29" xfId="0" applyFont="1" applyBorder="1" applyAlignment="1">
      <alignment vertical="center" textRotation="90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textRotation="90"/>
    </xf>
    <xf numFmtId="0" fontId="7" fillId="0" borderId="20" xfId="0" applyFont="1" applyBorder="1" applyAlignment="1">
      <alignment horizontal="center" vertical="center" textRotation="90"/>
    </xf>
    <xf numFmtId="0" fontId="7" fillId="0" borderId="19" xfId="0" applyFont="1" applyBorder="1" applyAlignment="1">
      <alignment horizontal="center" vertical="center" textRotation="90"/>
    </xf>
    <xf numFmtId="0" fontId="7" fillId="0" borderId="5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textRotation="90"/>
    </xf>
    <xf numFmtId="0" fontId="7" fillId="0" borderId="26" xfId="0" applyFont="1" applyBorder="1" applyAlignment="1">
      <alignment horizontal="center" vertical="center" textRotation="90"/>
    </xf>
    <xf numFmtId="0" fontId="7" fillId="0" borderId="27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 wrapText="1"/>
    </xf>
    <xf numFmtId="0" fontId="7" fillId="0" borderId="21" xfId="0" applyFont="1" applyBorder="1" applyAlignment="1">
      <alignment horizontal="center" vertical="center" textRotation="90" wrapText="1"/>
    </xf>
    <xf numFmtId="0" fontId="7" fillId="0" borderId="25" xfId="0" applyFont="1" applyBorder="1" applyAlignment="1">
      <alignment horizontal="center" vertical="center" textRotation="90" wrapText="1"/>
    </xf>
    <xf numFmtId="0" fontId="7" fillId="0" borderId="26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center" vertical="center" textRotation="90" wrapText="1"/>
    </xf>
    <xf numFmtId="164" fontId="7" fillId="2" borderId="18" xfId="0" applyNumberFormat="1" applyFont="1" applyFill="1" applyBorder="1" applyAlignment="1">
      <alignment horizontal="center" vertical="center" wrapText="1"/>
    </xf>
    <xf numFmtId="164" fontId="7" fillId="2" borderId="8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textRotation="255"/>
    </xf>
    <xf numFmtId="0" fontId="13" fillId="0" borderId="52" xfId="0" applyFont="1" applyBorder="1" applyAlignment="1">
      <alignment horizontal="center" vertical="center" textRotation="255"/>
    </xf>
    <xf numFmtId="0" fontId="13" fillId="0" borderId="54" xfId="0" applyFont="1" applyBorder="1" applyAlignment="1">
      <alignment horizontal="center" vertical="center" textRotation="255"/>
    </xf>
    <xf numFmtId="0" fontId="13" fillId="0" borderId="53" xfId="0" applyFont="1" applyBorder="1" applyAlignment="1">
      <alignment horizontal="center" vertical="center" textRotation="255"/>
    </xf>
    <xf numFmtId="0" fontId="13" fillId="0" borderId="55" xfId="0" applyFont="1" applyBorder="1" applyAlignment="1">
      <alignment horizontal="center" vertical="center" textRotation="255"/>
    </xf>
    <xf numFmtId="0" fontId="13" fillId="0" borderId="46" xfId="0" applyFont="1" applyBorder="1" applyAlignment="1">
      <alignment horizontal="center" vertical="center" textRotation="255"/>
    </xf>
    <xf numFmtId="0" fontId="14" fillId="0" borderId="20" xfId="0" applyFont="1" applyBorder="1" applyAlignment="1">
      <alignment horizontal="center" vertical="center" textRotation="90"/>
    </xf>
    <xf numFmtId="0" fontId="14" fillId="0" borderId="20" xfId="0" applyFont="1" applyBorder="1" applyAlignment="1">
      <alignment horizontal="center" vertical="center" textRotation="90" wrapText="1"/>
    </xf>
    <xf numFmtId="0" fontId="7" fillId="0" borderId="1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14" fillId="0" borderId="48" xfId="0" applyFont="1" applyBorder="1" applyAlignment="1" applyProtection="1">
      <alignment horizontal="center" vertical="center" textRotation="90" wrapText="1"/>
    </xf>
    <xf numFmtId="0" fontId="14" fillId="0" borderId="29" xfId="0" applyFont="1" applyBorder="1" applyAlignment="1" applyProtection="1">
      <alignment horizontal="center" vertical="center" textRotation="90" wrapText="1"/>
    </xf>
    <xf numFmtId="0" fontId="7" fillId="0" borderId="10" xfId="0" applyFont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wrapText="1"/>
    </xf>
    <xf numFmtId="164" fontId="7" fillId="4" borderId="20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textRotation="90" wrapText="1"/>
    </xf>
    <xf numFmtId="0" fontId="15" fillId="0" borderId="28" xfId="0" applyNumberFormat="1" applyFont="1" applyBorder="1" applyAlignment="1">
      <alignment horizontal="center" vertical="center" textRotation="90" wrapText="1"/>
    </xf>
    <xf numFmtId="0" fontId="15" fillId="0" borderId="35" xfId="0" applyNumberFormat="1" applyFont="1" applyBorder="1" applyAlignment="1">
      <alignment horizontal="center" vertical="center" textRotation="90" wrapText="1"/>
    </xf>
    <xf numFmtId="0" fontId="14" fillId="0" borderId="4" xfId="0" applyFont="1" applyBorder="1" applyAlignment="1">
      <alignment horizontal="center" vertical="center" textRotation="90" wrapText="1"/>
    </xf>
    <xf numFmtId="0" fontId="14" fillId="0" borderId="21" xfId="0" applyFont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14" fillId="0" borderId="27" xfId="0" applyFont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center" vertical="center" textRotation="90"/>
    </xf>
    <xf numFmtId="0" fontId="14" fillId="0" borderId="26" xfId="0" applyFont="1" applyBorder="1" applyAlignment="1">
      <alignment horizontal="center" vertical="center" textRotation="90"/>
    </xf>
    <xf numFmtId="0" fontId="14" fillId="0" borderId="27" xfId="0" applyFont="1" applyBorder="1" applyAlignment="1">
      <alignment horizontal="center" vertical="center" textRotation="90"/>
    </xf>
    <xf numFmtId="0" fontId="14" fillId="0" borderId="11" xfId="0" applyFont="1" applyBorder="1" applyAlignment="1">
      <alignment horizontal="center" vertical="center" textRotation="90"/>
    </xf>
    <xf numFmtId="0" fontId="14" fillId="0" borderId="48" xfId="0" applyFont="1" applyBorder="1" applyAlignment="1">
      <alignment horizontal="center" vertical="center" textRotation="90"/>
    </xf>
    <xf numFmtId="0" fontId="14" fillId="0" borderId="29" xfId="0" applyFont="1" applyBorder="1" applyAlignment="1">
      <alignment horizontal="center" vertical="center" textRotation="90"/>
    </xf>
    <xf numFmtId="0" fontId="18" fillId="0" borderId="31" xfId="0" applyFont="1" applyBorder="1" applyAlignment="1">
      <alignment horizontal="center" vertical="center" textRotation="90" wrapText="1"/>
    </xf>
    <xf numFmtId="0" fontId="18" fillId="0" borderId="39" xfId="0" applyFont="1" applyBorder="1" applyAlignment="1">
      <alignment horizontal="center" vertical="center" textRotation="90" wrapText="1"/>
    </xf>
    <xf numFmtId="0" fontId="18" fillId="0" borderId="72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left"/>
    </xf>
    <xf numFmtId="0" fontId="18" fillId="0" borderId="6" xfId="0" applyFont="1" applyBorder="1" applyAlignment="1">
      <alignment horizontal="center" vertical="center" textRotation="30" wrapText="1"/>
    </xf>
    <xf numFmtId="0" fontId="18" fillId="0" borderId="68" xfId="0" applyFont="1" applyBorder="1" applyAlignment="1">
      <alignment horizontal="center" vertical="center" textRotation="30" wrapText="1"/>
    </xf>
    <xf numFmtId="0" fontId="18" fillId="0" borderId="72" xfId="0" applyFont="1" applyBorder="1" applyAlignment="1">
      <alignment horizontal="center" vertical="center" textRotation="30" wrapText="1"/>
    </xf>
    <xf numFmtId="0" fontId="18" fillId="0" borderId="43" xfId="0" applyFont="1" applyBorder="1" applyAlignment="1">
      <alignment horizontal="center" vertical="center" textRotation="45" wrapText="1"/>
    </xf>
    <xf numFmtId="0" fontId="18" fillId="0" borderId="69" xfId="0" applyFont="1" applyBorder="1" applyAlignment="1">
      <alignment horizontal="center" vertical="center" textRotation="45" wrapText="1"/>
    </xf>
    <xf numFmtId="0" fontId="18" fillId="0" borderId="73" xfId="0" applyFont="1" applyBorder="1" applyAlignment="1">
      <alignment horizontal="center" vertical="center" textRotation="45" wrapText="1"/>
    </xf>
    <xf numFmtId="0" fontId="19" fillId="0" borderId="67" xfId="0" applyFont="1" applyBorder="1" applyAlignment="1">
      <alignment horizontal="center" vertical="center" wrapText="1"/>
    </xf>
    <xf numFmtId="0" fontId="19" fillId="0" borderId="76" xfId="0" applyFont="1" applyBorder="1" applyAlignment="1">
      <alignment horizontal="center" vertical="center" wrapText="1"/>
    </xf>
    <xf numFmtId="49" fontId="18" fillId="0" borderId="70" xfId="0" applyNumberFormat="1" applyFont="1" applyBorder="1" applyAlignment="1">
      <alignment horizontal="center" vertical="center" wrapText="1"/>
    </xf>
    <xf numFmtId="49" fontId="18" fillId="0" borderId="77" xfId="0" applyNumberFormat="1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textRotation="90" wrapText="1"/>
    </xf>
    <xf numFmtId="0" fontId="18" fillId="0" borderId="39" xfId="0" applyFont="1" applyFill="1" applyBorder="1" applyAlignment="1">
      <alignment horizontal="center" vertical="center" textRotation="90" wrapText="1"/>
    </xf>
    <xf numFmtId="0" fontId="18" fillId="0" borderId="72" xfId="0" applyFont="1" applyFill="1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 wrapText="1"/>
    </xf>
    <xf numFmtId="0" fontId="19" fillId="0" borderId="18" xfId="0" applyFont="1" applyBorder="1" applyAlignment="1">
      <alignment horizontal="center" vertical="center" textRotation="90" wrapText="1"/>
    </xf>
    <xf numFmtId="0" fontId="21" fillId="0" borderId="22" xfId="0" applyFont="1" applyBorder="1" applyAlignment="1">
      <alignment horizontal="center"/>
    </xf>
    <xf numFmtId="0" fontId="21" fillId="0" borderId="81" xfId="0" applyFont="1" applyBorder="1" applyAlignment="1">
      <alignment horizontal="center"/>
    </xf>
    <xf numFmtId="0" fontId="14" fillId="0" borderId="35" xfId="0" applyFont="1" applyBorder="1" applyAlignment="1">
      <alignment horizontal="center" vertical="center" textRotation="90"/>
    </xf>
    <xf numFmtId="0" fontId="14" fillId="0" borderId="19" xfId="0" applyFont="1" applyBorder="1" applyAlignment="1">
      <alignment horizontal="center" vertical="center" textRotation="90"/>
    </xf>
    <xf numFmtId="164" fontId="7" fillId="10" borderId="1" xfId="0" applyNumberFormat="1" applyFont="1" applyFill="1" applyBorder="1" applyAlignment="1">
      <alignment horizontal="center" vertical="center"/>
    </xf>
    <xf numFmtId="164" fontId="10" fillId="10" borderId="30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7" fillId="12" borderId="11" xfId="0" applyNumberFormat="1" applyFont="1" applyFill="1" applyBorder="1" applyAlignment="1">
      <alignment horizontal="center" wrapText="1"/>
    </xf>
    <xf numFmtId="49" fontId="7" fillId="12" borderId="5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164" fontId="7" fillId="12" borderId="8" xfId="0" applyNumberFormat="1" applyFont="1" applyFill="1" applyBorder="1" applyAlignment="1">
      <alignment horizontal="center" vertical="center"/>
    </xf>
    <xf numFmtId="164" fontId="7" fillId="12" borderId="34" xfId="0" applyNumberFormat="1" applyFont="1" applyFill="1" applyBorder="1" applyAlignment="1">
      <alignment horizontal="center" vertical="center"/>
    </xf>
    <xf numFmtId="164" fontId="10" fillId="12" borderId="30" xfId="0" applyNumberFormat="1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textRotation="255"/>
    </xf>
    <xf numFmtId="0" fontId="13" fillId="12" borderId="52" xfId="0" applyFont="1" applyFill="1" applyBorder="1" applyAlignment="1">
      <alignment horizontal="center" vertical="center" textRotation="255"/>
    </xf>
    <xf numFmtId="164" fontId="7" fillId="12" borderId="12" xfId="0" applyNumberFormat="1" applyFont="1" applyFill="1" applyBorder="1" applyAlignment="1">
      <alignment horizontal="center" vertical="center" wrapText="1"/>
    </xf>
    <xf numFmtId="0" fontId="13" fillId="12" borderId="54" xfId="0" applyFont="1" applyFill="1" applyBorder="1" applyAlignment="1">
      <alignment horizontal="center" vertical="center" textRotation="255"/>
    </xf>
    <xf numFmtId="0" fontId="13" fillId="12" borderId="53" xfId="0" applyFont="1" applyFill="1" applyBorder="1" applyAlignment="1">
      <alignment horizontal="center" vertical="center" textRotation="255"/>
    </xf>
    <xf numFmtId="164" fontId="7" fillId="12" borderId="31" xfId="0" applyNumberFormat="1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164" fontId="7" fillId="12" borderId="10" xfId="0" applyNumberFormat="1" applyFont="1" applyFill="1" applyBorder="1" applyAlignment="1">
      <alignment horizontal="center" vertical="center" wrapText="1"/>
    </xf>
    <xf numFmtId="0" fontId="0" fillId="12" borderId="12" xfId="0" applyFill="1" applyBorder="1"/>
    <xf numFmtId="164" fontId="7" fillId="12" borderId="18" xfId="0" applyNumberFormat="1" applyFont="1" applyFill="1" applyBorder="1" applyAlignment="1">
      <alignment horizontal="center" vertical="center" wrapText="1"/>
    </xf>
    <xf numFmtId="164" fontId="7" fillId="12" borderId="8" xfId="0" applyNumberFormat="1" applyFont="1" applyFill="1" applyBorder="1" applyAlignment="1">
      <alignment horizontal="center" vertical="center" wrapText="1"/>
    </xf>
    <xf numFmtId="164" fontId="7" fillId="12" borderId="18" xfId="0" applyNumberFormat="1" applyFont="1" applyFill="1" applyBorder="1" applyAlignment="1">
      <alignment horizontal="center" vertical="center" wrapText="1"/>
    </xf>
    <xf numFmtId="164" fontId="7" fillId="12" borderId="20" xfId="0" applyNumberFormat="1" applyFont="1" applyFill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164" fontId="7" fillId="12" borderId="63" xfId="0" applyNumberFormat="1" applyFont="1" applyFill="1" applyBorder="1" applyAlignment="1">
      <alignment horizontal="center" vertical="center" wrapText="1"/>
    </xf>
    <xf numFmtId="0" fontId="7" fillId="12" borderId="40" xfId="0" applyFont="1" applyFill="1" applyBorder="1" applyAlignment="1">
      <alignment horizontal="center" vertical="center" wrapText="1"/>
    </xf>
    <xf numFmtId="164" fontId="7" fillId="12" borderId="39" xfId="0" applyNumberFormat="1" applyFont="1" applyFill="1" applyBorder="1" applyAlignment="1">
      <alignment horizontal="center" vertical="center" wrapText="1"/>
    </xf>
    <xf numFmtId="164" fontId="7" fillId="12" borderId="8" xfId="0" applyNumberFormat="1" applyFont="1" applyFill="1" applyBorder="1" applyAlignment="1">
      <alignment horizontal="center" vertical="center" wrapText="1"/>
    </xf>
    <xf numFmtId="0" fontId="7" fillId="12" borderId="38" xfId="0" applyFont="1" applyFill="1" applyBorder="1" applyAlignment="1">
      <alignment horizontal="center" vertical="center" wrapText="1"/>
    </xf>
    <xf numFmtId="164" fontId="7" fillId="12" borderId="19" xfId="0" applyNumberFormat="1" applyFont="1" applyFill="1" applyBorder="1" applyAlignment="1">
      <alignment horizontal="center" vertical="center" wrapText="1"/>
    </xf>
    <xf numFmtId="164" fontId="7" fillId="12" borderId="37" xfId="0" applyNumberFormat="1" applyFont="1" applyFill="1" applyBorder="1" applyAlignment="1">
      <alignment horizontal="center" vertical="center" wrapText="1"/>
    </xf>
    <xf numFmtId="165" fontId="7" fillId="12" borderId="16" xfId="0" applyNumberFormat="1" applyFont="1" applyFill="1" applyBorder="1" applyAlignment="1">
      <alignment horizontal="center" vertical="center"/>
    </xf>
    <xf numFmtId="0" fontId="13" fillId="12" borderId="55" xfId="0" applyFont="1" applyFill="1" applyBorder="1" applyAlignment="1">
      <alignment horizontal="center" vertical="center" textRotation="255"/>
    </xf>
    <xf numFmtId="0" fontId="13" fillId="12" borderId="46" xfId="0" applyFont="1" applyFill="1" applyBorder="1" applyAlignment="1">
      <alignment horizontal="center" vertical="center" textRotation="255"/>
    </xf>
    <xf numFmtId="0" fontId="17" fillId="10" borderId="0" xfId="0" applyFont="1" applyFill="1"/>
    <xf numFmtId="0" fontId="6" fillId="1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tabSelected="1" zoomScale="24" zoomScaleNormal="24" zoomScaleSheetLayoutView="40" workbookViewId="0">
      <selection activeCell="H12" sqref="H12"/>
    </sheetView>
  </sheetViews>
  <sheetFormatPr defaultRowHeight="22" x14ac:dyDescent="0.3"/>
  <cols>
    <col min="1" max="1" width="19.33203125" customWidth="1"/>
    <col min="2" max="2" width="21.9140625" customWidth="1"/>
    <col min="3" max="3" width="18.58203125" customWidth="1"/>
    <col min="4" max="4" width="28.25" customWidth="1"/>
    <col min="5" max="5" width="25.83203125" customWidth="1"/>
    <col min="6" max="6" width="29.08203125" customWidth="1"/>
    <col min="7" max="7" width="26.33203125" customWidth="1"/>
    <col min="8" max="8" width="27.4140625" customWidth="1"/>
    <col min="9" max="9" width="24" customWidth="1"/>
    <col min="10" max="10" width="20.33203125" customWidth="1"/>
    <col min="11" max="11" width="26.1640625" customWidth="1"/>
    <col min="12" max="12" width="24.1640625" customWidth="1"/>
    <col min="13" max="13" width="26.1640625" customWidth="1"/>
    <col min="14" max="14" width="23.5" customWidth="1"/>
    <col min="15" max="15" width="0.6640625" customWidth="1"/>
    <col min="16" max="16" width="23.25" customWidth="1"/>
    <col min="17" max="17" width="21.6640625" customWidth="1"/>
    <col min="18" max="18" width="26.6640625" customWidth="1"/>
    <col min="19" max="19" width="2.08203125" customWidth="1"/>
    <col min="20" max="20" width="25" customWidth="1"/>
    <col min="21" max="21" width="22.25" customWidth="1"/>
    <col min="22" max="22" width="1.58203125" customWidth="1"/>
    <col min="23" max="23" width="25" customWidth="1"/>
    <col min="24" max="24" width="25.83203125" customWidth="1"/>
    <col min="25" max="25" width="24.83203125" customWidth="1"/>
    <col min="26" max="26" width="25.75" customWidth="1"/>
    <col min="27" max="27" width="29.08203125" style="1" customWidth="1"/>
    <col min="28" max="28" width="23.4140625" customWidth="1"/>
  </cols>
  <sheetData>
    <row r="1" spans="1:28" ht="66.5" customHeight="1" x14ac:dyDescent="1.2">
      <c r="A1" s="276" t="s">
        <v>0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28" ht="61.5" customHeight="1" x14ac:dyDescent="1.2">
      <c r="A2" s="276" t="s">
        <v>417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</row>
    <row r="3" spans="1:28" ht="63.5" customHeight="1" thickBot="1" x14ac:dyDescent="1.25">
      <c r="A3" s="277" t="s">
        <v>444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</row>
    <row r="4" spans="1:28" ht="57" customHeight="1" thickBot="1" x14ac:dyDescent="0.35">
      <c r="A4" s="257" t="s">
        <v>1</v>
      </c>
      <c r="B4" s="257" t="s">
        <v>2</v>
      </c>
      <c r="C4" s="257" t="s">
        <v>3</v>
      </c>
      <c r="D4" s="271" t="s">
        <v>196</v>
      </c>
      <c r="E4" s="273"/>
      <c r="F4" s="365" t="s">
        <v>258</v>
      </c>
      <c r="G4" s="366"/>
      <c r="H4" s="271" t="s">
        <v>257</v>
      </c>
      <c r="I4" s="273"/>
      <c r="J4" s="271" t="s">
        <v>197</v>
      </c>
      <c r="K4" s="273"/>
      <c r="L4" s="271" t="s">
        <v>198</v>
      </c>
      <c r="M4" s="273"/>
      <c r="N4" s="367" t="s">
        <v>199</v>
      </c>
      <c r="O4" s="368"/>
      <c r="P4" s="369"/>
      <c r="Q4" s="271" t="s">
        <v>200</v>
      </c>
      <c r="R4" s="272"/>
      <c r="S4" s="273"/>
      <c r="T4" s="271" t="s">
        <v>201</v>
      </c>
      <c r="U4" s="272"/>
      <c r="V4" s="273"/>
      <c r="W4" s="271" t="s">
        <v>202</v>
      </c>
      <c r="X4" s="273"/>
      <c r="Y4" s="271" t="s">
        <v>203</v>
      </c>
      <c r="Z4" s="272"/>
      <c r="AA4" s="259" t="s">
        <v>188</v>
      </c>
    </row>
    <row r="5" spans="1:28" s="39" customFormat="1" ht="75.5" customHeight="1" thickBot="1" x14ac:dyDescent="1.25">
      <c r="A5" s="278"/>
      <c r="B5" s="278"/>
      <c r="C5" s="278"/>
      <c r="D5" s="262" t="s">
        <v>428</v>
      </c>
      <c r="E5" s="263"/>
      <c r="F5" s="262" t="s">
        <v>429</v>
      </c>
      <c r="G5" s="263"/>
      <c r="H5" s="262" t="s">
        <v>430</v>
      </c>
      <c r="I5" s="263"/>
      <c r="J5" s="262" t="s">
        <v>431</v>
      </c>
      <c r="K5" s="263"/>
      <c r="L5" s="262" t="s">
        <v>432</v>
      </c>
      <c r="M5" s="263"/>
      <c r="N5" s="370" t="s">
        <v>433</v>
      </c>
      <c r="O5" s="371"/>
      <c r="P5" s="372"/>
      <c r="Q5" s="262" t="s">
        <v>434</v>
      </c>
      <c r="R5" s="267"/>
      <c r="S5" s="263"/>
      <c r="T5" s="262" t="s">
        <v>435</v>
      </c>
      <c r="U5" s="267"/>
      <c r="V5" s="263"/>
      <c r="W5" s="262" t="s">
        <v>436</v>
      </c>
      <c r="X5" s="263"/>
      <c r="Y5" s="262" t="s">
        <v>437</v>
      </c>
      <c r="Z5" s="263"/>
      <c r="AA5" s="259"/>
      <c r="AB5" s="91"/>
    </row>
    <row r="6" spans="1:28" ht="67.5" customHeight="1" thickBot="1" x14ac:dyDescent="0.35">
      <c r="A6" s="278"/>
      <c r="B6" s="278"/>
      <c r="C6" s="278"/>
      <c r="D6" s="32" t="s">
        <v>4</v>
      </c>
      <c r="E6" s="33" t="s">
        <v>5</v>
      </c>
      <c r="F6" s="362" t="s">
        <v>4</v>
      </c>
      <c r="G6" s="364" t="s">
        <v>5</v>
      </c>
      <c r="H6" s="34" t="s">
        <v>4</v>
      </c>
      <c r="I6" s="33" t="s">
        <v>5</v>
      </c>
      <c r="J6" s="34" t="s">
        <v>4</v>
      </c>
      <c r="K6" s="33" t="s">
        <v>5</v>
      </c>
      <c r="L6" s="34" t="s">
        <v>4</v>
      </c>
      <c r="M6" s="32" t="s">
        <v>5</v>
      </c>
      <c r="N6" s="373" t="s">
        <v>4</v>
      </c>
      <c r="O6" s="374"/>
      <c r="P6" s="373" t="s">
        <v>5</v>
      </c>
      <c r="Q6" s="102" t="s">
        <v>4</v>
      </c>
      <c r="R6" s="102" t="s">
        <v>5</v>
      </c>
      <c r="S6" s="102" t="s">
        <v>6</v>
      </c>
      <c r="T6" s="102" t="s">
        <v>4</v>
      </c>
      <c r="U6" s="103" t="s">
        <v>5</v>
      </c>
      <c r="V6" s="36"/>
      <c r="W6" s="37" t="s">
        <v>4</v>
      </c>
      <c r="X6" s="38" t="s">
        <v>5</v>
      </c>
      <c r="Y6" s="32" t="s">
        <v>4</v>
      </c>
      <c r="Z6" s="35" t="s">
        <v>6</v>
      </c>
      <c r="AA6" s="259"/>
    </row>
    <row r="7" spans="1:28" s="31" customFormat="1" ht="140.5" customHeight="1" thickBot="1" x14ac:dyDescent="0.35">
      <c r="A7" s="278"/>
      <c r="B7" s="258"/>
      <c r="C7" s="279"/>
      <c r="D7" s="50" t="s">
        <v>355</v>
      </c>
      <c r="E7" s="29" t="s">
        <v>120</v>
      </c>
      <c r="F7" s="363" t="s">
        <v>259</v>
      </c>
      <c r="G7" s="363" t="s">
        <v>207</v>
      </c>
      <c r="H7" s="29" t="s">
        <v>237</v>
      </c>
      <c r="I7" s="29" t="s">
        <v>207</v>
      </c>
      <c r="J7" s="29" t="s">
        <v>236</v>
      </c>
      <c r="K7" s="29" t="s">
        <v>120</v>
      </c>
      <c r="L7" s="29" t="s">
        <v>238</v>
      </c>
      <c r="M7" s="29" t="s">
        <v>208</v>
      </c>
      <c r="N7" s="375" t="s">
        <v>255</v>
      </c>
      <c r="O7" s="375"/>
      <c r="P7" s="375" t="s">
        <v>120</v>
      </c>
      <c r="Q7" s="29" t="s">
        <v>268</v>
      </c>
      <c r="R7" s="29" t="s">
        <v>418</v>
      </c>
      <c r="S7" s="29"/>
      <c r="T7" s="29" t="s">
        <v>237</v>
      </c>
      <c r="U7" s="30" t="s">
        <v>419</v>
      </c>
      <c r="V7" s="30"/>
      <c r="W7" s="29" t="s">
        <v>239</v>
      </c>
      <c r="X7" s="30" t="s">
        <v>419</v>
      </c>
      <c r="Y7" s="29" t="s">
        <v>240</v>
      </c>
      <c r="Z7" s="30" t="s">
        <v>248</v>
      </c>
      <c r="AA7" s="259"/>
      <c r="AB7" s="31" t="s">
        <v>425</v>
      </c>
    </row>
    <row r="8" spans="1:28" ht="96" customHeight="1" thickBot="1" x14ac:dyDescent="0.35">
      <c r="A8" s="7"/>
      <c r="B8" s="295" t="s">
        <v>247</v>
      </c>
      <c r="C8" s="8" t="s">
        <v>94</v>
      </c>
      <c r="D8" s="9" t="s">
        <v>151</v>
      </c>
      <c r="E8" s="9"/>
      <c r="F8" s="9" t="s">
        <v>312</v>
      </c>
      <c r="G8" s="9"/>
      <c r="H8" s="9"/>
      <c r="I8" s="9" t="s">
        <v>154</v>
      </c>
      <c r="J8" s="9" t="s">
        <v>155</v>
      </c>
      <c r="L8" s="9"/>
      <c r="M8" s="9" t="s">
        <v>156</v>
      </c>
      <c r="N8" s="376" t="s">
        <v>353</v>
      </c>
      <c r="O8" s="377"/>
      <c r="P8" s="378"/>
      <c r="R8" s="9" t="s">
        <v>152</v>
      </c>
      <c r="S8" s="9"/>
      <c r="T8" s="9" t="s">
        <v>157</v>
      </c>
      <c r="U8" s="9"/>
      <c r="V8" s="9"/>
      <c r="W8" s="9" t="s">
        <v>153</v>
      </c>
      <c r="X8" s="9"/>
      <c r="Y8" s="9"/>
      <c r="AA8" s="92">
        <v>55</v>
      </c>
      <c r="AB8" s="92" t="s">
        <v>314</v>
      </c>
    </row>
    <row r="9" spans="1:28" ht="96" customHeight="1" thickBot="1" x14ac:dyDescent="0.35">
      <c r="A9" s="278"/>
      <c r="B9" s="296"/>
      <c r="C9" s="10" t="s">
        <v>10</v>
      </c>
      <c r="D9" s="235"/>
      <c r="E9" s="45" t="s">
        <v>38</v>
      </c>
      <c r="F9" s="11"/>
      <c r="G9" s="15" t="s">
        <v>150</v>
      </c>
      <c r="H9" s="45" t="s">
        <v>148</v>
      </c>
      <c r="I9" s="12"/>
      <c r="J9" s="12"/>
      <c r="K9" s="79" t="s">
        <v>138</v>
      </c>
      <c r="L9" s="105" t="s">
        <v>204</v>
      </c>
      <c r="M9" s="13"/>
      <c r="N9" s="379"/>
      <c r="O9" s="380"/>
      <c r="P9" s="381"/>
      <c r="Q9" s="45" t="s">
        <v>70</v>
      </c>
      <c r="S9" s="105"/>
      <c r="T9" s="14"/>
      <c r="U9" s="53" t="s">
        <v>18</v>
      </c>
      <c r="V9" s="11"/>
      <c r="W9" s="54"/>
      <c r="X9" s="15"/>
      <c r="Y9" s="45" t="s">
        <v>149</v>
      </c>
      <c r="Z9" s="86"/>
      <c r="AA9" s="92">
        <v>65</v>
      </c>
      <c r="AB9" s="92" t="s">
        <v>315</v>
      </c>
    </row>
    <row r="10" spans="1:28" ht="86" customHeight="1" thickBot="1" x14ac:dyDescent="0.35">
      <c r="A10" s="278"/>
      <c r="B10" s="297" t="s">
        <v>147</v>
      </c>
      <c r="C10" s="10" t="s">
        <v>77</v>
      </c>
      <c r="D10" s="49" t="s">
        <v>170</v>
      </c>
      <c r="E10" s="15"/>
      <c r="F10" s="47" t="s">
        <v>174</v>
      </c>
      <c r="G10" s="15"/>
      <c r="H10" s="49" t="s">
        <v>171</v>
      </c>
      <c r="I10" s="15"/>
      <c r="J10" s="67"/>
      <c r="K10" s="47" t="s">
        <v>173</v>
      </c>
      <c r="L10" s="15" t="s">
        <v>177</v>
      </c>
      <c r="M10" s="15"/>
      <c r="N10" s="379"/>
      <c r="O10" s="380"/>
      <c r="P10" s="382"/>
      <c r="Q10" s="14"/>
      <c r="R10" s="15" t="s">
        <v>175</v>
      </c>
      <c r="S10" s="15"/>
      <c r="U10" s="14" t="s">
        <v>176</v>
      </c>
      <c r="W10" s="46" t="s">
        <v>178</v>
      </c>
      <c r="X10" s="67"/>
      <c r="Y10" s="49" t="s">
        <v>172</v>
      </c>
      <c r="Z10" s="87"/>
      <c r="AA10" s="92">
        <v>140</v>
      </c>
      <c r="AB10" s="92" t="s">
        <v>316</v>
      </c>
    </row>
    <row r="11" spans="1:28" ht="99.5" customHeight="1" thickBot="1" x14ac:dyDescent="0.35">
      <c r="A11" s="278"/>
      <c r="B11" s="298"/>
      <c r="C11" s="10" t="s">
        <v>97</v>
      </c>
      <c r="D11" s="10"/>
      <c r="E11" s="48" t="s">
        <v>179</v>
      </c>
      <c r="F11" s="9" t="s">
        <v>21</v>
      </c>
      <c r="G11" s="13" t="s">
        <v>182</v>
      </c>
      <c r="H11" s="242"/>
      <c r="I11" s="48" t="s">
        <v>180</v>
      </c>
      <c r="J11" s="13" t="s">
        <v>231</v>
      </c>
      <c r="L11" s="13"/>
      <c r="M11" s="25" t="s">
        <v>181</v>
      </c>
      <c r="N11" s="379"/>
      <c r="O11" s="380"/>
      <c r="P11" s="383"/>
      <c r="Q11" s="13" t="s">
        <v>183</v>
      </c>
      <c r="R11" s="13"/>
      <c r="S11" s="13"/>
      <c r="T11" s="127" t="s">
        <v>20</v>
      </c>
      <c r="V11" s="13"/>
      <c r="X11" s="13" t="s">
        <v>184</v>
      </c>
      <c r="Y11" s="67"/>
      <c r="Z11" s="13" t="s">
        <v>185</v>
      </c>
      <c r="AA11" s="92">
        <v>165</v>
      </c>
      <c r="AB11" s="92" t="s">
        <v>317</v>
      </c>
    </row>
    <row r="12" spans="1:28" ht="84.5" customHeight="1" thickBot="1" x14ac:dyDescent="0.35">
      <c r="A12" s="278"/>
      <c r="B12" s="298"/>
      <c r="C12" s="10" t="s">
        <v>94</v>
      </c>
      <c r="D12" s="10"/>
      <c r="E12" s="48" t="s">
        <v>158</v>
      </c>
      <c r="F12" s="67"/>
      <c r="G12" s="46" t="s">
        <v>159</v>
      </c>
      <c r="H12" s="242"/>
      <c r="I12" s="48" t="s">
        <v>194</v>
      </c>
      <c r="J12" s="231" t="s">
        <v>232</v>
      </c>
      <c r="K12" s="67"/>
      <c r="L12" s="9"/>
      <c r="M12" s="15" t="s">
        <v>193</v>
      </c>
      <c r="N12" s="379"/>
      <c r="O12" s="380"/>
      <c r="P12" s="382"/>
      <c r="Q12" s="9"/>
      <c r="R12" s="9" t="s">
        <v>160</v>
      </c>
      <c r="S12" s="9"/>
      <c r="T12" s="9" t="s">
        <v>16</v>
      </c>
      <c r="U12" s="9"/>
      <c r="V12" s="9"/>
      <c r="W12" s="67"/>
      <c r="X12" s="67"/>
      <c r="Y12" s="41"/>
      <c r="Z12" s="64" t="s">
        <v>11</v>
      </c>
      <c r="AA12" s="92">
        <v>210</v>
      </c>
      <c r="AB12" s="92" t="s">
        <v>318</v>
      </c>
    </row>
    <row r="13" spans="1:28" ht="127.75" customHeight="1" thickBot="1" x14ac:dyDescent="0.35">
      <c r="A13" s="278"/>
      <c r="B13" s="299"/>
      <c r="C13" s="10" t="s">
        <v>95</v>
      </c>
      <c r="D13" s="10" t="s">
        <v>166</v>
      </c>
      <c r="E13" s="16"/>
      <c r="F13" s="9" t="s">
        <v>138</v>
      </c>
      <c r="G13" s="9"/>
      <c r="H13" s="242" t="s">
        <v>167</v>
      </c>
      <c r="I13" s="16"/>
      <c r="J13" s="9"/>
      <c r="K13" s="126" t="s">
        <v>23</v>
      </c>
      <c r="L13" s="9" t="s">
        <v>19</v>
      </c>
      <c r="M13" s="9"/>
      <c r="N13" s="379"/>
      <c r="O13" s="380"/>
      <c r="P13" s="378"/>
      <c r="Q13" s="242" t="s">
        <v>17</v>
      </c>
      <c r="R13" s="67"/>
      <c r="S13" s="15"/>
      <c r="T13" s="15"/>
      <c r="U13" s="9" t="s">
        <v>262</v>
      </c>
      <c r="V13" s="9"/>
      <c r="W13" s="67"/>
      <c r="X13" s="17" t="s">
        <v>169</v>
      </c>
      <c r="Y13" s="48" t="s">
        <v>168</v>
      </c>
      <c r="Z13" s="25"/>
      <c r="AA13" s="92">
        <v>320</v>
      </c>
      <c r="AB13" s="92" t="s">
        <v>319</v>
      </c>
    </row>
    <row r="14" spans="1:28" ht="84.5" customHeight="1" thickBot="1" x14ac:dyDescent="0.35">
      <c r="A14" s="278"/>
      <c r="B14" s="292" t="s">
        <v>246</v>
      </c>
      <c r="C14" s="15" t="s">
        <v>77</v>
      </c>
      <c r="D14" s="47" t="s">
        <v>227</v>
      </c>
      <c r="E14" s="9"/>
      <c r="F14" s="125"/>
      <c r="G14" s="9"/>
      <c r="H14" s="46" t="s">
        <v>228</v>
      </c>
      <c r="I14" s="9"/>
      <c r="K14" s="46" t="s">
        <v>229</v>
      </c>
      <c r="L14" s="46" t="s">
        <v>226</v>
      </c>
      <c r="M14" s="9"/>
      <c r="N14" s="379"/>
      <c r="O14" s="380"/>
      <c r="P14" s="378"/>
      <c r="Q14" s="9"/>
      <c r="R14" s="46" t="s">
        <v>230</v>
      </c>
      <c r="S14" s="9"/>
      <c r="T14" s="15"/>
      <c r="U14" s="9" t="s">
        <v>146</v>
      </c>
      <c r="W14" s="9"/>
      <c r="X14" s="9"/>
      <c r="Z14" s="46" t="s">
        <v>110</v>
      </c>
      <c r="AA14" s="92">
        <v>125</v>
      </c>
      <c r="AB14" s="92" t="s">
        <v>351</v>
      </c>
    </row>
    <row r="15" spans="1:28" ht="90.5" customHeight="1" thickBot="1" x14ac:dyDescent="0.35">
      <c r="A15" s="278"/>
      <c r="B15" s="293"/>
      <c r="C15" s="18" t="s">
        <v>97</v>
      </c>
      <c r="D15" s="15"/>
      <c r="E15" s="46" t="s">
        <v>220</v>
      </c>
      <c r="F15" s="46" t="s">
        <v>28</v>
      </c>
      <c r="G15" s="46" t="s">
        <v>223</v>
      </c>
      <c r="H15" s="9"/>
      <c r="I15" s="46" t="s">
        <v>116</v>
      </c>
      <c r="J15" s="125" t="s">
        <v>224</v>
      </c>
      <c r="K15" s="67"/>
      <c r="L15" s="9"/>
      <c r="M15" s="17" t="s">
        <v>221</v>
      </c>
      <c r="N15" s="379"/>
      <c r="O15" s="380"/>
      <c r="P15" s="378"/>
      <c r="Q15" s="47" t="s">
        <v>222</v>
      </c>
      <c r="R15" s="9"/>
      <c r="S15" s="125"/>
      <c r="T15" s="51" t="s">
        <v>20</v>
      </c>
      <c r="V15" s="9"/>
      <c r="W15" s="46" t="s">
        <v>118</v>
      </c>
      <c r="X15" s="9"/>
      <c r="Y15" s="46" t="s">
        <v>117</v>
      </c>
      <c r="AA15" s="92">
        <v>150</v>
      </c>
      <c r="AB15" s="92" t="s">
        <v>350</v>
      </c>
    </row>
    <row r="16" spans="1:28" ht="106" customHeight="1" thickBot="1" x14ac:dyDescent="0.35">
      <c r="A16" s="278"/>
      <c r="B16" s="293"/>
      <c r="C16" s="19" t="s">
        <v>8</v>
      </c>
      <c r="D16" s="67"/>
      <c r="E16" s="47" t="s">
        <v>22</v>
      </c>
      <c r="F16" s="46" t="s">
        <v>217</v>
      </c>
      <c r="G16" s="9"/>
      <c r="H16" s="125"/>
      <c r="I16" s="46" t="s">
        <v>216</v>
      </c>
      <c r="J16" s="9"/>
      <c r="K16" s="46" t="s">
        <v>250</v>
      </c>
      <c r="L16" s="9"/>
      <c r="M16" s="15" t="s">
        <v>119</v>
      </c>
      <c r="N16" s="379"/>
      <c r="O16" s="380"/>
      <c r="P16" s="382"/>
      <c r="Q16" s="46" t="s">
        <v>219</v>
      </c>
      <c r="R16" s="67"/>
      <c r="T16" s="51" t="s">
        <v>66</v>
      </c>
      <c r="U16" s="9"/>
      <c r="W16" s="9"/>
      <c r="X16" s="9" t="s">
        <v>249</v>
      </c>
      <c r="Z16" s="88" t="s">
        <v>218</v>
      </c>
      <c r="AA16" s="92">
        <v>125</v>
      </c>
      <c r="AB16" s="92" t="s">
        <v>320</v>
      </c>
    </row>
    <row r="17" spans="1:28" ht="109.5" customHeight="1" thickBot="1" x14ac:dyDescent="0.35">
      <c r="A17" s="278"/>
      <c r="B17" s="294"/>
      <c r="C17" s="10" t="s">
        <v>10</v>
      </c>
      <c r="D17" s="9" t="s">
        <v>252</v>
      </c>
      <c r="E17" s="67"/>
      <c r="F17" s="17"/>
      <c r="G17" s="9" t="s">
        <v>215</v>
      </c>
      <c r="H17" s="240" t="s">
        <v>214</v>
      </c>
      <c r="I17" s="9"/>
      <c r="J17" s="46" t="s">
        <v>70</v>
      </c>
      <c r="L17" s="9"/>
      <c r="M17" s="9"/>
      <c r="N17" s="379"/>
      <c r="O17" s="380"/>
      <c r="P17" s="378"/>
      <c r="Q17" s="9"/>
      <c r="R17" s="9" t="s">
        <v>251</v>
      </c>
      <c r="S17" s="9"/>
      <c r="U17" s="46" t="s">
        <v>23</v>
      </c>
      <c r="V17" s="9"/>
      <c r="W17" s="46" t="s">
        <v>253</v>
      </c>
      <c r="X17" s="9"/>
      <c r="Y17" s="46" t="s">
        <v>36</v>
      </c>
      <c r="AA17" s="92">
        <v>170</v>
      </c>
      <c r="AB17" s="92" t="s">
        <v>321</v>
      </c>
    </row>
    <row r="18" spans="1:28" ht="131.4" customHeight="1" thickBot="1" x14ac:dyDescent="0.35">
      <c r="A18" s="278"/>
      <c r="B18" s="288" t="s">
        <v>245</v>
      </c>
      <c r="C18" s="20" t="s">
        <v>12</v>
      </c>
      <c r="D18" s="15"/>
      <c r="E18" s="43" t="s">
        <v>24</v>
      </c>
      <c r="F18" s="43" t="s">
        <v>111</v>
      </c>
      <c r="G18" s="9"/>
      <c r="H18" s="126" t="s">
        <v>146</v>
      </c>
      <c r="I18" s="9"/>
      <c r="J18" s="9"/>
      <c r="K18" s="43" t="s">
        <v>110</v>
      </c>
      <c r="L18" s="43" t="s">
        <v>109</v>
      </c>
      <c r="M18" s="67"/>
      <c r="N18" s="379"/>
      <c r="O18" s="380"/>
      <c r="P18" s="384"/>
      <c r="Q18" s="67"/>
      <c r="R18" s="9" t="s">
        <v>25</v>
      </c>
      <c r="S18" s="9"/>
      <c r="T18" s="15"/>
      <c r="U18" s="9"/>
      <c r="W18" s="9" t="s">
        <v>241</v>
      </c>
      <c r="X18" s="9"/>
      <c r="Y18" s="46" t="s">
        <v>189</v>
      </c>
      <c r="Z18" s="26"/>
      <c r="AA18" s="92">
        <v>165</v>
      </c>
      <c r="AB18" s="92" t="s">
        <v>322</v>
      </c>
    </row>
    <row r="19" spans="1:28" ht="98.5" customHeight="1" thickBot="1" x14ac:dyDescent="0.35">
      <c r="A19" s="278"/>
      <c r="B19" s="288"/>
      <c r="C19" s="21" t="s">
        <v>14</v>
      </c>
      <c r="D19" s="15" t="s">
        <v>30</v>
      </c>
      <c r="E19" s="9"/>
      <c r="F19" s="17"/>
      <c r="G19" s="9" t="s">
        <v>113</v>
      </c>
      <c r="H19" s="9"/>
      <c r="I19" s="43" t="s">
        <v>28</v>
      </c>
      <c r="J19" s="43" t="s">
        <v>112</v>
      </c>
      <c r="K19" s="9"/>
      <c r="L19" s="15"/>
      <c r="M19" s="9" t="s">
        <v>27</v>
      </c>
      <c r="N19" s="379"/>
      <c r="O19" s="380"/>
      <c r="P19" s="378"/>
      <c r="Q19" s="9" t="s">
        <v>26</v>
      </c>
      <c r="R19" s="9"/>
      <c r="S19" s="9"/>
      <c r="T19" s="46" t="s">
        <v>20</v>
      </c>
      <c r="V19" s="9"/>
      <c r="W19" s="15"/>
      <c r="X19" s="15" t="s">
        <v>29</v>
      </c>
      <c r="Y19" s="9"/>
      <c r="Z19" s="88" t="s">
        <v>137</v>
      </c>
      <c r="AA19" s="92">
        <v>170</v>
      </c>
      <c r="AB19" s="92" t="s">
        <v>323</v>
      </c>
    </row>
    <row r="20" spans="1:28" ht="95.5" customHeight="1" thickBot="1" x14ac:dyDescent="0.35">
      <c r="A20" s="278"/>
      <c r="B20" s="288"/>
      <c r="C20" s="21" t="s">
        <v>8</v>
      </c>
      <c r="D20" s="44" t="s">
        <v>32</v>
      </c>
      <c r="E20" s="9"/>
      <c r="F20" s="43" t="s">
        <v>33</v>
      </c>
      <c r="G20" s="9"/>
      <c r="I20" s="9" t="s">
        <v>31</v>
      </c>
      <c r="J20" s="67"/>
      <c r="K20" s="67"/>
      <c r="L20" s="9"/>
      <c r="M20" s="9" t="s">
        <v>119</v>
      </c>
      <c r="N20" s="379"/>
      <c r="O20" s="380"/>
      <c r="P20" s="378"/>
      <c r="Q20" s="9"/>
      <c r="R20" s="51" t="s">
        <v>66</v>
      </c>
      <c r="S20" s="9"/>
      <c r="U20" s="9"/>
      <c r="V20" s="9"/>
      <c r="W20" s="9"/>
      <c r="X20" s="9" t="s">
        <v>34</v>
      </c>
      <c r="Y20" s="46" t="s">
        <v>22</v>
      </c>
      <c r="AA20" s="92">
        <v>171</v>
      </c>
      <c r="AB20" s="92" t="s">
        <v>324</v>
      </c>
    </row>
    <row r="21" spans="1:28" ht="92.5" customHeight="1" thickBot="1" x14ac:dyDescent="0.35">
      <c r="A21" s="278"/>
      <c r="B21" s="288"/>
      <c r="C21" s="22" t="s">
        <v>10</v>
      </c>
      <c r="D21" s="15"/>
      <c r="E21" s="9" t="s">
        <v>39</v>
      </c>
      <c r="F21" s="17"/>
      <c r="G21" s="9" t="s">
        <v>35</v>
      </c>
      <c r="H21" s="9" t="s">
        <v>114</v>
      </c>
      <c r="I21" s="9"/>
      <c r="J21" s="67"/>
      <c r="K21" s="9"/>
      <c r="L21" s="51" t="s">
        <v>19</v>
      </c>
      <c r="M21" s="9"/>
      <c r="N21" s="379"/>
      <c r="O21" s="380"/>
      <c r="P21" s="378"/>
      <c r="Q21" s="9" t="s">
        <v>37</v>
      </c>
      <c r="R21" s="9"/>
      <c r="S21" s="9"/>
      <c r="T21" s="15"/>
      <c r="U21" s="51" t="s">
        <v>23</v>
      </c>
      <c r="V21" s="9"/>
      <c r="W21" s="9" t="s">
        <v>36</v>
      </c>
      <c r="X21" s="9"/>
      <c r="Z21" s="26" t="s">
        <v>254</v>
      </c>
      <c r="AA21" s="92">
        <v>155</v>
      </c>
      <c r="AB21" s="92" t="s">
        <v>325</v>
      </c>
    </row>
    <row r="22" spans="1:28" ht="91.5" customHeight="1" thickBot="1" x14ac:dyDescent="0.35">
      <c r="A22" s="278"/>
      <c r="B22" s="288" t="s">
        <v>244</v>
      </c>
      <c r="C22" s="23" t="s">
        <v>12</v>
      </c>
      <c r="D22" s="47" t="s">
        <v>45</v>
      </c>
      <c r="E22" s="9"/>
      <c r="F22" s="17"/>
      <c r="G22" s="9" t="s">
        <v>82</v>
      </c>
      <c r="H22" s="46" t="s">
        <v>80</v>
      </c>
      <c r="I22" s="9"/>
      <c r="J22" s="46" t="s">
        <v>41</v>
      </c>
      <c r="K22" s="9"/>
      <c r="L22" s="9" t="s">
        <v>46</v>
      </c>
      <c r="M22" s="9"/>
      <c r="N22" s="379"/>
      <c r="O22" s="380"/>
      <c r="P22" s="378"/>
      <c r="Q22" s="9"/>
      <c r="R22" s="9" t="s">
        <v>44</v>
      </c>
      <c r="S22" s="9"/>
      <c r="T22" s="15"/>
      <c r="U22" s="51" t="s">
        <v>121</v>
      </c>
      <c r="W22" s="9"/>
      <c r="X22" s="9" t="s">
        <v>211</v>
      </c>
      <c r="Y22" s="46" t="s">
        <v>81</v>
      </c>
      <c r="Z22" s="26"/>
      <c r="AA22" s="92">
        <v>70</v>
      </c>
      <c r="AB22" s="92" t="s">
        <v>326</v>
      </c>
    </row>
    <row r="23" spans="1:28" ht="84.5" customHeight="1" thickBot="1" x14ac:dyDescent="0.35">
      <c r="A23" s="278"/>
      <c r="B23" s="288"/>
      <c r="C23" s="19" t="s">
        <v>14</v>
      </c>
      <c r="D23" s="15"/>
      <c r="E23" s="46" t="s">
        <v>48</v>
      </c>
      <c r="F23" s="9" t="s">
        <v>49</v>
      </c>
      <c r="H23" s="9"/>
      <c r="I23" s="46" t="s">
        <v>40</v>
      </c>
      <c r="J23" s="9"/>
      <c r="K23" s="46" t="s">
        <v>47</v>
      </c>
      <c r="L23" s="125"/>
      <c r="M23" s="15" t="s">
        <v>13</v>
      </c>
      <c r="N23" s="379"/>
      <c r="O23" s="380"/>
      <c r="P23" s="382"/>
      <c r="Q23" s="46" t="s">
        <v>42</v>
      </c>
      <c r="S23" s="9"/>
      <c r="T23" s="46" t="s">
        <v>20</v>
      </c>
      <c r="U23" s="9"/>
      <c r="V23" s="40"/>
      <c r="W23" s="46" t="s">
        <v>50</v>
      </c>
      <c r="X23" s="9"/>
      <c r="Y23" s="9"/>
      <c r="Z23" s="88" t="s">
        <v>43</v>
      </c>
      <c r="AA23" s="92">
        <v>80</v>
      </c>
      <c r="AB23" s="92" t="s">
        <v>327</v>
      </c>
    </row>
    <row r="24" spans="1:28" ht="84" customHeight="1" thickBot="1" x14ac:dyDescent="0.35">
      <c r="A24" s="278"/>
      <c r="B24" s="288"/>
      <c r="C24" s="19" t="s">
        <v>8</v>
      </c>
      <c r="D24" s="47" t="s">
        <v>51</v>
      </c>
      <c r="E24" s="9"/>
      <c r="F24" s="17"/>
      <c r="G24" s="46" t="s">
        <v>53</v>
      </c>
      <c r="H24" s="9"/>
      <c r="I24" s="9"/>
      <c r="J24" s="9" t="s">
        <v>210</v>
      </c>
      <c r="K24" s="9"/>
      <c r="L24" s="9"/>
      <c r="M24" s="15" t="s">
        <v>55</v>
      </c>
      <c r="N24" s="379"/>
      <c r="O24" s="380"/>
      <c r="P24" s="382"/>
      <c r="Q24" s="9"/>
      <c r="R24" s="9" t="s">
        <v>57</v>
      </c>
      <c r="T24" s="9"/>
      <c r="U24" s="51" t="s">
        <v>205</v>
      </c>
      <c r="V24" s="9"/>
      <c r="W24" s="9"/>
      <c r="X24" s="9" t="s">
        <v>54</v>
      </c>
      <c r="Y24" s="46" t="s">
        <v>52</v>
      </c>
      <c r="AA24" s="92">
        <v>100</v>
      </c>
      <c r="AB24" s="92" t="s">
        <v>328</v>
      </c>
    </row>
    <row r="25" spans="1:28" ht="104.5" customHeight="1" thickBot="1" x14ac:dyDescent="0.35">
      <c r="A25" s="278"/>
      <c r="B25" s="288"/>
      <c r="C25" s="10" t="s">
        <v>10</v>
      </c>
      <c r="D25" s="15"/>
      <c r="E25" s="46" t="s">
        <v>140</v>
      </c>
      <c r="G25" s="9"/>
      <c r="H25" s="9"/>
      <c r="I25" s="17" t="s">
        <v>138</v>
      </c>
      <c r="J25" s="9"/>
      <c r="K25" s="126" t="s">
        <v>23</v>
      </c>
      <c r="L25" s="9" t="s">
        <v>19</v>
      </c>
      <c r="M25" s="9"/>
      <c r="N25" s="379"/>
      <c r="O25" s="380"/>
      <c r="P25" s="378"/>
      <c r="Q25" s="26" t="s">
        <v>70</v>
      </c>
      <c r="R25" s="9"/>
      <c r="S25" s="9"/>
      <c r="T25" s="17"/>
      <c r="V25" s="9"/>
      <c r="W25" s="46" t="s">
        <v>38</v>
      </c>
      <c r="X25" s="101"/>
      <c r="Z25" s="9" t="s">
        <v>39</v>
      </c>
      <c r="AA25" s="92">
        <v>95</v>
      </c>
      <c r="AB25" s="92" t="s">
        <v>329</v>
      </c>
    </row>
    <row r="26" spans="1:28" ht="89.5" customHeight="1" thickBot="1" x14ac:dyDescent="0.35">
      <c r="A26" s="278"/>
      <c r="B26" s="289" t="s">
        <v>125</v>
      </c>
      <c r="C26" s="80" t="s">
        <v>83</v>
      </c>
      <c r="D26" s="246" t="s">
        <v>234</v>
      </c>
      <c r="E26" s="9"/>
      <c r="F26" s="46" t="s">
        <v>92</v>
      </c>
      <c r="G26" s="9"/>
      <c r="H26" s="255" t="s">
        <v>309</v>
      </c>
      <c r="I26" s="9"/>
      <c r="J26" s="9" t="s">
        <v>93</v>
      </c>
      <c r="K26" s="9"/>
      <c r="L26" s="253" t="s">
        <v>58</v>
      </c>
      <c r="M26" s="246"/>
      <c r="N26" s="379"/>
      <c r="O26" s="380"/>
      <c r="P26" s="385"/>
      <c r="Q26" s="9" t="s">
        <v>88</v>
      </c>
      <c r="R26" s="246"/>
      <c r="S26" s="9"/>
      <c r="T26" s="268"/>
      <c r="U26" s="274" t="s">
        <v>235</v>
      </c>
      <c r="V26" s="9"/>
      <c r="W26" s="47" t="s">
        <v>310</v>
      </c>
      <c r="X26" s="248"/>
      <c r="Y26" s="248"/>
      <c r="Z26" s="248"/>
      <c r="AA26" s="259">
        <v>190</v>
      </c>
      <c r="AB26" s="257" t="s">
        <v>330</v>
      </c>
    </row>
    <row r="27" spans="1:28" ht="89.5" customHeight="1" thickBot="1" x14ac:dyDescent="0.35">
      <c r="A27" s="278"/>
      <c r="B27" s="289"/>
      <c r="C27" s="80" t="s">
        <v>84</v>
      </c>
      <c r="D27" s="247"/>
      <c r="E27" s="9"/>
      <c r="F27" s="46" t="s">
        <v>90</v>
      </c>
      <c r="G27" s="9"/>
      <c r="H27" s="256"/>
      <c r="I27" s="9"/>
      <c r="J27" s="46" t="s">
        <v>91</v>
      </c>
      <c r="K27" s="9"/>
      <c r="L27" s="254"/>
      <c r="M27" s="247"/>
      <c r="N27" s="379"/>
      <c r="O27" s="380"/>
      <c r="P27" s="386"/>
      <c r="Q27" s="46" t="s">
        <v>89</v>
      </c>
      <c r="R27" s="247"/>
      <c r="S27" s="9"/>
      <c r="T27" s="269"/>
      <c r="U27" s="275"/>
      <c r="V27" s="9"/>
      <c r="W27" s="47" t="s">
        <v>87</v>
      </c>
      <c r="X27" s="249"/>
      <c r="Y27" s="249"/>
      <c r="Z27" s="249"/>
      <c r="AA27" s="259"/>
      <c r="AB27" s="258"/>
    </row>
    <row r="28" spans="1:28" ht="83" customHeight="1" thickBot="1" x14ac:dyDescent="0.35">
      <c r="A28" s="278"/>
      <c r="B28" s="289"/>
      <c r="C28" s="80" t="s">
        <v>85</v>
      </c>
      <c r="E28" s="253" t="s">
        <v>60</v>
      </c>
      <c r="F28" s="300"/>
      <c r="G28" s="253" t="s">
        <v>311</v>
      </c>
      <c r="H28" s="246"/>
      <c r="I28" s="253" t="s">
        <v>62</v>
      </c>
      <c r="J28" s="246"/>
      <c r="K28" s="253" t="s">
        <v>47</v>
      </c>
      <c r="L28" s="246"/>
      <c r="M28" s="246" t="s">
        <v>27</v>
      </c>
      <c r="N28" s="379"/>
      <c r="O28" s="380"/>
      <c r="P28" s="385"/>
      <c r="Q28" s="246"/>
      <c r="R28" s="67"/>
      <c r="S28" s="67"/>
      <c r="T28" s="265" t="s">
        <v>20</v>
      </c>
      <c r="U28" s="270"/>
      <c r="V28" s="246"/>
      <c r="W28" s="246"/>
      <c r="X28" s="246" t="s">
        <v>61</v>
      </c>
      <c r="Y28" s="246" t="s">
        <v>139</v>
      </c>
      <c r="Z28" s="104"/>
      <c r="AA28" s="259">
        <v>200</v>
      </c>
      <c r="AB28" s="257" t="s">
        <v>331</v>
      </c>
    </row>
    <row r="29" spans="1:28" ht="78" customHeight="1" thickBot="1" x14ac:dyDescent="0.35">
      <c r="A29" s="278"/>
      <c r="B29" s="289"/>
      <c r="C29" s="80" t="s">
        <v>86</v>
      </c>
      <c r="E29" s="264"/>
      <c r="F29" s="301"/>
      <c r="G29" s="254"/>
      <c r="H29" s="247"/>
      <c r="I29" s="254"/>
      <c r="J29" s="247"/>
      <c r="K29" s="254"/>
      <c r="L29" s="247"/>
      <c r="M29" s="247"/>
      <c r="N29" s="379"/>
      <c r="O29" s="380"/>
      <c r="P29" s="386"/>
      <c r="Q29" s="247"/>
      <c r="R29" s="67"/>
      <c r="S29" s="67"/>
      <c r="T29" s="266"/>
      <c r="U29" s="269"/>
      <c r="V29" s="247"/>
      <c r="W29" s="247"/>
      <c r="X29" s="247"/>
      <c r="Y29" s="247"/>
      <c r="Z29" s="104"/>
      <c r="AA29" s="259"/>
      <c r="AB29" s="258"/>
    </row>
    <row r="30" spans="1:28" ht="89" customHeight="1" thickBot="1" x14ac:dyDescent="0.35">
      <c r="A30" s="278"/>
      <c r="B30" s="289"/>
      <c r="C30" s="80" t="s">
        <v>8</v>
      </c>
      <c r="D30" s="46" t="s">
        <v>63</v>
      </c>
      <c r="E30" s="67"/>
      <c r="F30" s="9" t="s">
        <v>312</v>
      </c>
      <c r="G30" s="9"/>
      <c r="H30" s="9" t="s">
        <v>65</v>
      </c>
      <c r="I30" s="9"/>
      <c r="K30" s="46" t="s">
        <v>67</v>
      </c>
      <c r="L30" s="9"/>
      <c r="M30" s="9" t="s">
        <v>64</v>
      </c>
      <c r="N30" s="379"/>
      <c r="O30" s="380"/>
      <c r="P30" s="378"/>
      <c r="Q30" s="47" t="s">
        <v>69</v>
      </c>
      <c r="S30" s="9"/>
      <c r="T30" s="226"/>
      <c r="U30" s="51" t="s">
        <v>66</v>
      </c>
      <c r="V30" s="9"/>
      <c r="W30" s="9"/>
      <c r="X30" s="9" t="s">
        <v>68</v>
      </c>
      <c r="Y30" s="9"/>
      <c r="Z30" s="89"/>
      <c r="AA30" s="92">
        <v>230</v>
      </c>
      <c r="AB30" s="92" t="s">
        <v>332</v>
      </c>
    </row>
    <row r="31" spans="1:28" ht="95" customHeight="1" thickBot="1" x14ac:dyDescent="0.35">
      <c r="A31" s="278"/>
      <c r="B31" s="289"/>
      <c r="C31" s="81" t="s">
        <v>10</v>
      </c>
      <c r="D31" s="67"/>
      <c r="E31" s="46" t="s">
        <v>38</v>
      </c>
      <c r="F31" s="17"/>
      <c r="G31" s="9"/>
      <c r="H31" s="9"/>
      <c r="I31" s="9"/>
      <c r="J31" s="46" t="s">
        <v>70</v>
      </c>
      <c r="K31" s="17"/>
      <c r="L31" s="9" t="s">
        <v>233</v>
      </c>
      <c r="M31" s="67"/>
      <c r="N31" s="379"/>
      <c r="O31" s="380"/>
      <c r="P31" s="384"/>
      <c r="Q31" s="9"/>
      <c r="R31" s="9"/>
      <c r="S31" s="9"/>
      <c r="T31" s="51" t="s">
        <v>23</v>
      </c>
      <c r="U31" s="125"/>
      <c r="V31" s="9"/>
      <c r="W31" s="9" t="s">
        <v>36</v>
      </c>
      <c r="X31" s="9"/>
      <c r="Y31" s="67"/>
      <c r="Z31" s="89"/>
      <c r="AA31" s="92">
        <v>280</v>
      </c>
      <c r="AB31" s="92" t="s">
        <v>333</v>
      </c>
    </row>
    <row r="32" spans="1:28" ht="108.5" customHeight="1" thickBot="1" x14ac:dyDescent="0.35">
      <c r="A32" s="278"/>
      <c r="B32" s="289" t="s">
        <v>243</v>
      </c>
      <c r="C32" s="81" t="s">
        <v>77</v>
      </c>
      <c r="D32" s="58"/>
      <c r="E32" s="147" t="s">
        <v>131</v>
      </c>
      <c r="F32" s="17"/>
      <c r="H32" s="242"/>
      <c r="I32" s="46" t="s">
        <v>132</v>
      </c>
      <c r="J32" s="9"/>
      <c r="K32" s="9" t="s">
        <v>134</v>
      </c>
      <c r="L32" s="46" t="s">
        <v>133</v>
      </c>
      <c r="M32" s="9" t="s">
        <v>186</v>
      </c>
      <c r="N32" s="379"/>
      <c r="O32" s="380"/>
      <c r="P32" s="378"/>
      <c r="Q32" s="9"/>
      <c r="R32" s="51" t="s">
        <v>130</v>
      </c>
      <c r="S32" s="9"/>
      <c r="T32" s="9"/>
      <c r="U32" s="9" t="s">
        <v>186</v>
      </c>
      <c r="W32" s="9"/>
      <c r="X32" s="9" t="s">
        <v>59</v>
      </c>
      <c r="Y32" s="67"/>
      <c r="Z32" s="9" t="s">
        <v>135</v>
      </c>
      <c r="AA32" s="92">
        <v>50</v>
      </c>
      <c r="AB32" s="92" t="s">
        <v>334</v>
      </c>
    </row>
    <row r="33" spans="1:28" ht="88" customHeight="1" thickBot="1" x14ac:dyDescent="0.35">
      <c r="A33" s="278"/>
      <c r="B33" s="289"/>
      <c r="C33" s="81" t="s">
        <v>97</v>
      </c>
      <c r="D33" s="47" t="s">
        <v>103</v>
      </c>
      <c r="E33" s="9"/>
      <c r="F33" s="17"/>
      <c r="G33" s="9"/>
      <c r="H33" s="9" t="s">
        <v>106</v>
      </c>
      <c r="I33" s="9"/>
      <c r="J33" s="9" t="s">
        <v>108</v>
      </c>
      <c r="K33" s="9"/>
      <c r="L33" s="9"/>
      <c r="M33" s="9" t="s">
        <v>13</v>
      </c>
      <c r="N33" s="379"/>
      <c r="O33" s="380"/>
      <c r="P33" s="378"/>
      <c r="Q33" s="9" t="s">
        <v>107</v>
      </c>
      <c r="R33" s="9"/>
      <c r="S33" s="9"/>
      <c r="T33" s="51" t="s">
        <v>20</v>
      </c>
      <c r="V33" s="9"/>
      <c r="W33" s="46" t="s">
        <v>104</v>
      </c>
      <c r="X33" s="9"/>
      <c r="Y33" s="17" t="s">
        <v>105</v>
      </c>
      <c r="Z33" s="26"/>
      <c r="AA33" s="92">
        <v>50</v>
      </c>
      <c r="AB33" s="92" t="s">
        <v>335</v>
      </c>
    </row>
    <row r="34" spans="1:28" ht="89.5" customHeight="1" thickBot="1" x14ac:dyDescent="0.35">
      <c r="A34" s="278"/>
      <c r="B34" s="289"/>
      <c r="C34" s="81" t="s">
        <v>94</v>
      </c>
      <c r="D34" s="47" t="s">
        <v>99</v>
      </c>
      <c r="E34" s="9"/>
      <c r="F34" s="125"/>
      <c r="G34" s="67"/>
      <c r="H34" s="46" t="s">
        <v>79</v>
      </c>
      <c r="I34" s="9"/>
      <c r="J34" s="9" t="s">
        <v>100</v>
      </c>
      <c r="K34" s="9"/>
      <c r="L34" s="9"/>
      <c r="M34" s="9" t="s">
        <v>96</v>
      </c>
      <c r="N34" s="379"/>
      <c r="O34" s="380"/>
      <c r="P34" s="378"/>
      <c r="Q34" s="9" t="s">
        <v>102</v>
      </c>
      <c r="R34" s="9"/>
      <c r="T34" s="51" t="s">
        <v>73</v>
      </c>
      <c r="U34" s="9"/>
      <c r="X34" s="17" t="s">
        <v>101</v>
      </c>
      <c r="Y34" s="67"/>
      <c r="Z34" s="46" t="s">
        <v>206</v>
      </c>
      <c r="AA34" s="92">
        <v>45</v>
      </c>
      <c r="AB34" s="92" t="s">
        <v>336</v>
      </c>
    </row>
    <row r="35" spans="1:28" ht="91" customHeight="1" thickBot="1" x14ac:dyDescent="0.35">
      <c r="A35" s="278"/>
      <c r="B35" s="290"/>
      <c r="C35" s="177" t="s">
        <v>10</v>
      </c>
      <c r="D35" s="105"/>
      <c r="E35" s="146" t="s">
        <v>78</v>
      </c>
      <c r="F35" s="239"/>
      <c r="H35" s="241"/>
      <c r="I35" s="146" t="s">
        <v>98</v>
      </c>
      <c r="J35" s="148"/>
      <c r="K35" s="238"/>
      <c r="L35" s="243" t="s">
        <v>19</v>
      </c>
      <c r="M35" s="241"/>
      <c r="N35" s="379"/>
      <c r="O35" s="380"/>
      <c r="P35" s="387"/>
      <c r="Q35" s="241"/>
      <c r="R35" s="161" t="s">
        <v>23</v>
      </c>
      <c r="T35" s="105"/>
      <c r="U35" s="148" t="s">
        <v>71</v>
      </c>
      <c r="V35" s="148"/>
      <c r="W35" s="146" t="s">
        <v>144</v>
      </c>
      <c r="X35" s="78"/>
      <c r="Y35" s="146" t="s">
        <v>7</v>
      </c>
      <c r="Z35" s="220"/>
      <c r="AA35" s="150">
        <v>70</v>
      </c>
      <c r="AB35" s="150" t="s">
        <v>337</v>
      </c>
    </row>
    <row r="36" spans="1:28" ht="102.5" customHeight="1" thickBot="1" x14ac:dyDescent="0.35">
      <c r="A36" s="291"/>
      <c r="B36" s="250" t="s">
        <v>269</v>
      </c>
      <c r="C36" s="152" t="s">
        <v>12</v>
      </c>
      <c r="D36" s="152"/>
      <c r="E36" s="96" t="s">
        <v>387</v>
      </c>
      <c r="F36" s="99"/>
      <c r="G36" s="76" t="s">
        <v>439</v>
      </c>
      <c r="H36" s="76" t="s">
        <v>438</v>
      </c>
      <c r="I36" s="215"/>
      <c r="J36" s="96" t="s">
        <v>386</v>
      </c>
      <c r="K36" s="215"/>
      <c r="L36" s="96"/>
      <c r="M36" s="96" t="s">
        <v>385</v>
      </c>
      <c r="N36" s="379"/>
      <c r="O36" s="380"/>
      <c r="P36" s="388"/>
      <c r="Q36" s="96"/>
      <c r="R36" s="166" t="s">
        <v>309</v>
      </c>
      <c r="S36" s="100"/>
      <c r="T36" s="152"/>
      <c r="U36" s="9" t="s">
        <v>384</v>
      </c>
      <c r="V36" s="96"/>
      <c r="W36" s="215"/>
      <c r="X36" s="218" t="s">
        <v>440</v>
      </c>
      <c r="Y36" s="9"/>
      <c r="Z36" s="9"/>
      <c r="AA36" s="92">
        <v>75</v>
      </c>
      <c r="AB36" s="92" t="s">
        <v>338</v>
      </c>
    </row>
    <row r="37" spans="1:28" ht="91" customHeight="1" thickBot="1" x14ac:dyDescent="0.35">
      <c r="A37" s="278"/>
      <c r="B37" s="251"/>
      <c r="C37" s="81" t="s">
        <v>14</v>
      </c>
      <c r="D37" s="163" t="s">
        <v>281</v>
      </c>
      <c r="E37" s="159"/>
      <c r="F37" s="163" t="s">
        <v>279</v>
      </c>
      <c r="G37" s="159"/>
      <c r="H37" s="164"/>
      <c r="I37" s="186" t="s">
        <v>283</v>
      </c>
      <c r="J37" s="164"/>
      <c r="K37" s="163" t="s">
        <v>60</v>
      </c>
      <c r="L37" s="236"/>
      <c r="M37" s="163" t="s">
        <v>280</v>
      </c>
      <c r="N37" s="379"/>
      <c r="O37" s="380"/>
      <c r="P37" s="389"/>
      <c r="Q37" s="163" t="s">
        <v>282</v>
      </c>
      <c r="R37" s="143"/>
      <c r="S37" s="143"/>
      <c r="T37" s="154" t="s">
        <v>20</v>
      </c>
      <c r="U37" s="143"/>
      <c r="V37" s="143"/>
      <c r="W37" s="163" t="s">
        <v>278</v>
      </c>
      <c r="X37" s="143"/>
      <c r="Y37" s="165" t="s">
        <v>118</v>
      </c>
      <c r="Z37" s="145"/>
      <c r="AA37" s="144">
        <v>35</v>
      </c>
      <c r="AB37" s="142" t="s">
        <v>420</v>
      </c>
    </row>
    <row r="38" spans="1:28" ht="89.5" customHeight="1" thickBot="1" x14ac:dyDescent="0.35">
      <c r="A38" s="278"/>
      <c r="B38" s="251"/>
      <c r="C38" s="80" t="s">
        <v>94</v>
      </c>
      <c r="D38" s="75" t="s">
        <v>289</v>
      </c>
      <c r="E38" s="9"/>
      <c r="F38" s="9" t="s">
        <v>441</v>
      </c>
      <c r="G38" s="9" t="s">
        <v>442</v>
      </c>
      <c r="H38" s="125" t="s">
        <v>291</v>
      </c>
      <c r="I38" s="9"/>
      <c r="J38" s="46" t="s">
        <v>290</v>
      </c>
      <c r="K38" s="125"/>
      <c r="L38" s="125"/>
      <c r="M38" s="125" t="s">
        <v>288</v>
      </c>
      <c r="N38" s="379"/>
      <c r="O38" s="380"/>
      <c r="P38" s="378"/>
      <c r="Q38" s="125" t="s">
        <v>287</v>
      </c>
      <c r="R38" s="67"/>
      <c r="S38" s="13"/>
      <c r="T38" s="51" t="s">
        <v>66</v>
      </c>
      <c r="U38" s="9"/>
      <c r="V38" s="67"/>
      <c r="W38" s="67"/>
      <c r="X38" s="125" t="s">
        <v>286</v>
      </c>
      <c r="Y38" s="46" t="s">
        <v>292</v>
      </c>
      <c r="Z38" s="13"/>
      <c r="AA38" s="92">
        <v>165</v>
      </c>
      <c r="AB38" s="92" t="s">
        <v>339</v>
      </c>
    </row>
    <row r="39" spans="1:28" ht="79.25" customHeight="1" thickBot="1" x14ac:dyDescent="0.35">
      <c r="A39" s="278"/>
      <c r="B39" s="252"/>
      <c r="C39" s="84" t="s">
        <v>10</v>
      </c>
      <c r="E39" s="146" t="s">
        <v>195</v>
      </c>
      <c r="F39" s="244" t="s">
        <v>443</v>
      </c>
      <c r="G39" s="241"/>
      <c r="H39" s="219"/>
      <c r="I39" s="146" t="s">
        <v>284</v>
      </c>
      <c r="J39" s="237"/>
      <c r="K39" s="244" t="s">
        <v>285</v>
      </c>
      <c r="L39" s="241" t="s">
        <v>142</v>
      </c>
      <c r="M39" s="241"/>
      <c r="N39" s="379"/>
      <c r="O39" s="380"/>
      <c r="P39" s="387"/>
      <c r="Q39" s="78"/>
      <c r="R39" s="178" t="s">
        <v>70</v>
      </c>
      <c r="S39" s="78"/>
      <c r="T39" s="105"/>
      <c r="U39" s="153" t="s">
        <v>23</v>
      </c>
      <c r="V39" s="78"/>
      <c r="W39" s="155" t="s">
        <v>136</v>
      </c>
      <c r="X39" s="237"/>
      <c r="Z39" s="179" t="s">
        <v>126</v>
      </c>
      <c r="AA39" s="150">
        <v>190</v>
      </c>
      <c r="AB39" s="150" t="s">
        <v>340</v>
      </c>
    </row>
    <row r="40" spans="1:28" ht="90.5" customHeight="1" thickBot="1" x14ac:dyDescent="0.35">
      <c r="A40" s="278"/>
      <c r="B40" s="250" t="s">
        <v>242</v>
      </c>
      <c r="C40" s="181" t="s">
        <v>12</v>
      </c>
      <c r="D40" s="76" t="s">
        <v>388</v>
      </c>
      <c r="E40" s="213"/>
      <c r="F40" s="43" t="s">
        <v>393</v>
      </c>
      <c r="G40" s="184"/>
      <c r="H40" s="75" t="s">
        <v>390</v>
      </c>
      <c r="I40" s="213"/>
      <c r="J40" s="221" t="s">
        <v>402</v>
      </c>
      <c r="K40" s="213"/>
      <c r="L40" s="213" t="s">
        <v>403</v>
      </c>
      <c r="M40" s="213"/>
      <c r="N40" s="379"/>
      <c r="O40" s="380"/>
      <c r="P40" s="390"/>
      <c r="Q40" s="43" t="s">
        <v>392</v>
      </c>
      <c r="R40" s="213"/>
      <c r="S40" s="183"/>
      <c r="T40" s="223" t="s">
        <v>404</v>
      </c>
      <c r="U40" s="213"/>
      <c r="V40" s="183"/>
      <c r="W40" s="183"/>
      <c r="X40" s="43" t="s">
        <v>414</v>
      </c>
      <c r="Y40" s="174"/>
      <c r="Z40" s="217"/>
      <c r="AA40" s="92">
        <v>15</v>
      </c>
      <c r="AB40" s="92" t="s">
        <v>341</v>
      </c>
    </row>
    <row r="41" spans="1:28" ht="102" customHeight="1" thickBot="1" x14ac:dyDescent="0.35">
      <c r="A41" s="278"/>
      <c r="B41" s="251"/>
      <c r="C41" s="81" t="s">
        <v>97</v>
      </c>
      <c r="D41" s="165" t="s">
        <v>389</v>
      </c>
      <c r="E41" s="149"/>
      <c r="F41" s="43" t="s">
        <v>394</v>
      </c>
      <c r="G41" s="222" t="s">
        <v>397</v>
      </c>
      <c r="H41" s="180" t="s">
        <v>391</v>
      </c>
      <c r="I41" s="149"/>
      <c r="J41" s="149"/>
      <c r="K41" s="180" t="s">
        <v>395</v>
      </c>
      <c r="L41" s="125"/>
      <c r="M41" s="25" t="s">
        <v>400</v>
      </c>
      <c r="N41" s="379"/>
      <c r="O41" s="380"/>
      <c r="P41" s="383"/>
      <c r="Q41" s="43" t="s">
        <v>47</v>
      </c>
      <c r="R41" s="229"/>
      <c r="S41" s="149"/>
      <c r="T41" s="52" t="s">
        <v>401</v>
      </c>
      <c r="U41" s="229"/>
      <c r="V41" s="149"/>
      <c r="W41" s="222" t="s">
        <v>398</v>
      </c>
      <c r="X41" s="156"/>
      <c r="Y41" s="222" t="s">
        <v>399</v>
      </c>
      <c r="Z41" s="180" t="s">
        <v>396</v>
      </c>
      <c r="AA41" s="151">
        <v>60</v>
      </c>
      <c r="AB41" s="151" t="s">
        <v>342</v>
      </c>
    </row>
    <row r="42" spans="1:28" ht="92.5" customHeight="1" thickBot="1" x14ac:dyDescent="0.35">
      <c r="A42" s="278"/>
      <c r="B42" s="251"/>
      <c r="C42" s="82" t="s">
        <v>94</v>
      </c>
      <c r="D42" s="71"/>
      <c r="E42" s="70" t="s">
        <v>164</v>
      </c>
      <c r="F42" s="74"/>
      <c r="G42" s="72" t="s">
        <v>163</v>
      </c>
      <c r="H42" s="9"/>
      <c r="I42" s="73" t="s">
        <v>162</v>
      </c>
      <c r="J42" s="9"/>
      <c r="K42" s="73" t="s">
        <v>161</v>
      </c>
      <c r="L42" s="72"/>
      <c r="M42" s="71" t="s">
        <v>405</v>
      </c>
      <c r="N42" s="379"/>
      <c r="O42" s="380"/>
      <c r="P42" s="391"/>
      <c r="Q42" s="224" t="s">
        <v>165</v>
      </c>
      <c r="R42" s="72"/>
      <c r="S42" s="72"/>
      <c r="T42" s="51" t="s">
        <v>18</v>
      </c>
      <c r="U42" s="125"/>
      <c r="V42" s="72"/>
      <c r="W42" s="72"/>
      <c r="X42" s="72" t="s">
        <v>96</v>
      </c>
      <c r="Y42" s="72"/>
      <c r="Z42" s="90"/>
      <c r="AA42" s="92">
        <v>60</v>
      </c>
      <c r="AB42" s="92" t="s">
        <v>343</v>
      </c>
    </row>
    <row r="43" spans="1:28" ht="100.5" customHeight="1" thickBot="1" x14ac:dyDescent="0.35">
      <c r="A43" s="278"/>
      <c r="B43" s="252"/>
      <c r="C43" s="83" t="s">
        <v>95</v>
      </c>
      <c r="D43" s="68" t="s">
        <v>407</v>
      </c>
      <c r="E43" s="69"/>
      <c r="F43" s="225" t="s">
        <v>408</v>
      </c>
      <c r="G43" s="69"/>
      <c r="H43" s="70" t="s">
        <v>209</v>
      </c>
      <c r="I43" s="69"/>
      <c r="J43" s="227" t="s">
        <v>35</v>
      </c>
      <c r="K43" s="69"/>
      <c r="L43" s="69" t="s">
        <v>409</v>
      </c>
      <c r="M43" s="69"/>
      <c r="N43" s="379"/>
      <c r="O43" s="380"/>
      <c r="P43" s="392"/>
      <c r="Q43" s="69"/>
      <c r="R43" s="69" t="s">
        <v>415</v>
      </c>
      <c r="S43" s="69"/>
      <c r="T43" s="225"/>
      <c r="U43" s="216" t="s">
        <v>406</v>
      </c>
      <c r="V43" s="69"/>
      <c r="W43" s="70" t="s">
        <v>114</v>
      </c>
      <c r="X43" s="69"/>
      <c r="Z43" s="213"/>
      <c r="AA43" s="150">
        <v>60</v>
      </c>
      <c r="AB43" s="150" t="s">
        <v>344</v>
      </c>
    </row>
    <row r="44" spans="1:28" ht="93" customHeight="1" thickBot="1" x14ac:dyDescent="0.35">
      <c r="A44" s="278"/>
      <c r="B44" s="282" t="s">
        <v>270</v>
      </c>
      <c r="C44" s="181" t="s">
        <v>12</v>
      </c>
      <c r="D44" s="182" t="s">
        <v>357</v>
      </c>
      <c r="E44" s="184"/>
      <c r="F44" s="213"/>
      <c r="G44" s="176" t="s">
        <v>90</v>
      </c>
      <c r="H44" s="184"/>
      <c r="I44" s="176" t="s">
        <v>358</v>
      </c>
      <c r="J44" s="183"/>
      <c r="K44" s="176" t="s">
        <v>359</v>
      </c>
      <c r="L44" s="214" t="s">
        <v>130</v>
      </c>
      <c r="M44" s="213"/>
      <c r="N44" s="379"/>
      <c r="O44" s="380"/>
      <c r="P44" s="390"/>
      <c r="Q44" s="213"/>
      <c r="R44" s="184" t="s">
        <v>424</v>
      </c>
      <c r="S44" s="184"/>
      <c r="T44" s="184"/>
      <c r="U44" s="185" t="s">
        <v>59</v>
      </c>
      <c r="V44" s="184"/>
      <c r="W44" s="184"/>
      <c r="X44" s="184"/>
      <c r="Y44" s="174"/>
      <c r="Z44" s="188"/>
      <c r="AA44" s="92">
        <v>30</v>
      </c>
      <c r="AB44" s="92" t="s">
        <v>345</v>
      </c>
    </row>
    <row r="45" spans="1:28" ht="93" customHeight="1" thickBot="1" x14ac:dyDescent="0.35">
      <c r="A45" s="278"/>
      <c r="B45" s="283"/>
      <c r="C45" s="81" t="s">
        <v>97</v>
      </c>
      <c r="D45" s="156"/>
      <c r="E45" s="180" t="s">
        <v>61</v>
      </c>
      <c r="F45" s="180" t="s">
        <v>274</v>
      </c>
      <c r="G45" s="164"/>
      <c r="H45" s="180" t="s">
        <v>271</v>
      </c>
      <c r="I45" s="149"/>
      <c r="J45" s="164"/>
      <c r="K45" s="180" t="s">
        <v>272</v>
      </c>
      <c r="L45" s="229"/>
      <c r="M45" s="242" t="s">
        <v>13</v>
      </c>
      <c r="N45" s="379"/>
      <c r="O45" s="380"/>
      <c r="P45" s="393"/>
      <c r="Q45" s="180" t="s">
        <v>273</v>
      </c>
      <c r="R45" s="149"/>
      <c r="S45" s="149"/>
      <c r="T45" s="52" t="s">
        <v>20</v>
      </c>
      <c r="U45" s="164"/>
      <c r="V45" s="13"/>
      <c r="W45" s="149"/>
      <c r="X45" s="149" t="s">
        <v>275</v>
      </c>
      <c r="Y45" s="180" t="s">
        <v>276</v>
      </c>
      <c r="Z45" s="187"/>
      <c r="AA45" s="151">
        <v>20</v>
      </c>
      <c r="AB45" s="151" t="s">
        <v>346</v>
      </c>
    </row>
    <row r="46" spans="1:28" ht="86" customHeight="1" thickBot="1" x14ac:dyDescent="1.25">
      <c r="A46" s="278"/>
      <c r="B46" s="283"/>
      <c r="C46" s="84" t="s">
        <v>94</v>
      </c>
      <c r="D46" s="24"/>
      <c r="E46" s="65" t="s">
        <v>128</v>
      </c>
      <c r="F46" s="9"/>
      <c r="G46" s="66" t="s">
        <v>68</v>
      </c>
      <c r="H46" s="67"/>
      <c r="I46" s="66"/>
      <c r="J46" s="66" t="s">
        <v>56</v>
      </c>
      <c r="K46" s="65"/>
      <c r="L46" s="9"/>
      <c r="M46" s="65" t="s">
        <v>129</v>
      </c>
      <c r="N46" s="379"/>
      <c r="O46" s="380"/>
      <c r="P46" s="394"/>
      <c r="Q46" s="66" t="s">
        <v>143</v>
      </c>
      <c r="R46" s="66"/>
      <c r="S46" s="66"/>
      <c r="T46" s="51" t="s">
        <v>66</v>
      </c>
      <c r="U46" s="66"/>
      <c r="V46" s="66"/>
      <c r="W46" s="9"/>
      <c r="X46" s="9" t="s">
        <v>145</v>
      </c>
      <c r="Y46" s="9" t="s">
        <v>127</v>
      </c>
      <c r="Z46" s="104"/>
      <c r="AA46" s="92">
        <v>30</v>
      </c>
      <c r="AB46" s="92" t="s">
        <v>347</v>
      </c>
    </row>
    <row r="47" spans="1:28" ht="94.25" customHeight="1" thickBot="1" x14ac:dyDescent="0.35">
      <c r="A47" s="278"/>
      <c r="B47" s="284"/>
      <c r="C47" s="80" t="s">
        <v>95</v>
      </c>
      <c r="D47" s="139" t="s">
        <v>78</v>
      </c>
      <c r="E47" s="9"/>
      <c r="F47" s="128"/>
      <c r="G47" s="128"/>
      <c r="H47" s="141"/>
      <c r="I47" s="55" t="s">
        <v>122</v>
      </c>
      <c r="J47" s="55"/>
      <c r="K47" s="95" t="s">
        <v>138</v>
      </c>
      <c r="L47" s="241"/>
      <c r="M47" s="241"/>
      <c r="N47" s="379"/>
      <c r="O47" s="380"/>
      <c r="P47" s="387"/>
      <c r="Q47" s="241"/>
      <c r="R47" s="55" t="s">
        <v>123</v>
      </c>
      <c r="T47" s="57"/>
      <c r="U47" s="59" t="s">
        <v>23</v>
      </c>
      <c r="V47" s="55"/>
      <c r="W47" s="55" t="s">
        <v>124</v>
      </c>
      <c r="X47" s="78"/>
      <c r="Y47" s="78"/>
      <c r="Z47" s="62" t="s">
        <v>141</v>
      </c>
      <c r="AA47" s="60">
        <v>45</v>
      </c>
      <c r="AB47" s="92" t="s">
        <v>348</v>
      </c>
    </row>
    <row r="48" spans="1:28" ht="94.25" customHeight="1" thickBot="1" x14ac:dyDescent="0.35">
      <c r="A48" s="189"/>
      <c r="B48" s="260" t="s">
        <v>293</v>
      </c>
      <c r="C48" s="94" t="s">
        <v>94</v>
      </c>
      <c r="D48" s="140"/>
      <c r="E48" s="9" t="s">
        <v>302</v>
      </c>
      <c r="F48" s="99"/>
      <c r="G48" s="96" t="s">
        <v>304</v>
      </c>
      <c r="H48" s="130"/>
      <c r="I48" s="96"/>
      <c r="J48" s="96" t="s">
        <v>303</v>
      </c>
      <c r="K48" s="215"/>
      <c r="L48" s="96"/>
      <c r="M48" s="96" t="s">
        <v>305</v>
      </c>
      <c r="N48" s="379"/>
      <c r="O48" s="380"/>
      <c r="P48" s="388"/>
      <c r="Q48" s="96" t="s">
        <v>306</v>
      </c>
      <c r="R48" s="96"/>
      <c r="S48" s="129"/>
      <c r="T48" s="9" t="s">
        <v>307</v>
      </c>
      <c r="U48" s="96"/>
      <c r="V48" s="96"/>
      <c r="W48" s="96"/>
      <c r="X48" s="96" t="s">
        <v>308</v>
      </c>
      <c r="Y48" s="96" t="s">
        <v>313</v>
      </c>
      <c r="Z48" s="100"/>
      <c r="AA48" s="92">
        <v>65</v>
      </c>
      <c r="AB48" s="92" t="s">
        <v>349</v>
      </c>
    </row>
    <row r="49" spans="1:28" ht="94.25" customHeight="1" thickBot="1" x14ac:dyDescent="0.35">
      <c r="A49" s="189"/>
      <c r="B49" s="261"/>
      <c r="C49" s="94" t="s">
        <v>95</v>
      </c>
      <c r="D49" s="173" t="s">
        <v>295</v>
      </c>
      <c r="E49" s="168"/>
      <c r="F49" s="133" t="s">
        <v>297</v>
      </c>
      <c r="G49" s="96"/>
      <c r="H49" s="132" t="s">
        <v>296</v>
      </c>
      <c r="I49" s="100"/>
      <c r="J49" s="96"/>
      <c r="K49" s="96" t="s">
        <v>138</v>
      </c>
      <c r="L49" s="132" t="s">
        <v>298</v>
      </c>
      <c r="M49" s="96"/>
      <c r="N49" s="379"/>
      <c r="O49" s="380"/>
      <c r="P49" s="388"/>
      <c r="Q49" s="100"/>
      <c r="R49" s="134" t="s">
        <v>18</v>
      </c>
      <c r="S49" s="130"/>
      <c r="T49" s="158"/>
      <c r="V49" s="170"/>
      <c r="W49" s="146" t="s">
        <v>300</v>
      </c>
      <c r="X49" s="169"/>
      <c r="Y49" s="169"/>
      <c r="Z49" s="162" t="s">
        <v>299</v>
      </c>
      <c r="AA49" s="92">
        <v>65</v>
      </c>
      <c r="AB49" s="92" t="s">
        <v>421</v>
      </c>
    </row>
    <row r="50" spans="1:28" ht="94.25" customHeight="1" thickBot="1" x14ac:dyDescent="0.35">
      <c r="A50" s="189"/>
      <c r="B50" s="280" t="s">
        <v>263</v>
      </c>
      <c r="C50" s="167" t="s">
        <v>94</v>
      </c>
      <c r="D50" s="137" t="s">
        <v>379</v>
      </c>
      <c r="E50" s="96"/>
      <c r="F50" s="171" t="s">
        <v>382</v>
      </c>
      <c r="G50" s="170"/>
      <c r="H50" s="77" t="s">
        <v>380</v>
      </c>
      <c r="I50" s="169"/>
      <c r="J50" s="170"/>
      <c r="K50" s="232"/>
      <c r="L50" s="212"/>
      <c r="M50" s="170" t="s">
        <v>11</v>
      </c>
      <c r="N50" s="379"/>
      <c r="O50" s="380"/>
      <c r="P50" s="395"/>
      <c r="Q50" s="169"/>
      <c r="R50" s="172" t="s">
        <v>381</v>
      </c>
      <c r="S50" s="160"/>
      <c r="T50" s="152"/>
      <c r="U50" s="100"/>
      <c r="V50" s="175"/>
      <c r="W50" s="213"/>
      <c r="X50" s="171" t="s">
        <v>383</v>
      </c>
      <c r="Y50" s="100"/>
      <c r="Z50" s="230"/>
      <c r="AA50" s="142">
        <v>10</v>
      </c>
      <c r="AB50" s="92" t="s">
        <v>422</v>
      </c>
    </row>
    <row r="51" spans="1:28" ht="91" customHeight="1" thickBot="1" x14ac:dyDescent="0.35">
      <c r="A51" s="63"/>
      <c r="B51" s="281"/>
      <c r="C51" s="85" t="s">
        <v>95</v>
      </c>
      <c r="E51" s="77" t="s">
        <v>267</v>
      </c>
      <c r="F51" s="138"/>
      <c r="G51" s="137" t="s">
        <v>266</v>
      </c>
      <c r="H51" s="135"/>
      <c r="I51" s="136"/>
      <c r="J51" s="137" t="s">
        <v>265</v>
      </c>
      <c r="K51" s="136"/>
      <c r="L51" s="136"/>
      <c r="M51" s="136"/>
      <c r="N51" s="379"/>
      <c r="O51" s="380"/>
      <c r="P51" s="396"/>
      <c r="Q51" s="137" t="s">
        <v>17</v>
      </c>
      <c r="R51" s="136"/>
      <c r="S51" s="131"/>
      <c r="T51" s="58"/>
      <c r="U51" s="52" t="s">
        <v>18</v>
      </c>
      <c r="V51" s="56"/>
      <c r="W51" s="56"/>
      <c r="X51" s="9"/>
      <c r="Y51" s="77" t="s">
        <v>264</v>
      </c>
      <c r="AA51" s="61">
        <v>30</v>
      </c>
      <c r="AB51" s="92" t="s">
        <v>423</v>
      </c>
    </row>
    <row r="52" spans="1:28" ht="42.65" customHeight="1" thickBot="1" x14ac:dyDescent="0.75">
      <c r="A52" s="285" t="s">
        <v>74</v>
      </c>
      <c r="B52" s="286"/>
      <c r="C52" s="287"/>
      <c r="D52" s="27">
        <f>AA8+AA10+AA13+AA14+AA17+AA19+AA20+AA22+AA24+AA26+AA30+AA33+AA34+AA37+AA38+AA40+AA41+AA43+AA44+AA47+AA49+AA50</f>
        <v>2321</v>
      </c>
      <c r="E52" s="27">
        <f>AA9+AA11+AA12+AA15+AA16+AA18+AA21+AA23+AA25+AA28+AA31+AA32+AA35+AA36+AA39+AA42+AA45+AA46+AA48+AA51</f>
        <v>2280</v>
      </c>
      <c r="F52" s="27">
        <f>AA8+AA10+AA11+AA13+AA15+AA16+AA18+AA20+AA23+AA26+AA30+AA37+AA38+AA39+AA40+AA41+AA43+AA45+AA49+AA50</f>
        <v>2411</v>
      </c>
      <c r="G52" s="27">
        <f>AA9+AA11+AA12+AA15+AA17+AA19+AA21+AA22+AA24+AA28+AA36+AA38+AA41+AA42+AA44+AA46+AA48+AA51</f>
        <v>1970</v>
      </c>
      <c r="H52" s="27">
        <f>AA9+AA10+AA13+AA14+AA17+AA18+AA21+AA22+AA26+AA30+AA33+AA34+AA36+AA38+AA40+AA41+AA43+AA45+AA49+AA50</f>
        <v>2195</v>
      </c>
      <c r="I52" s="27">
        <f>AA8+AA11+AA12+AA15+AA18+AA19+AA20+AA23+AA25+AA28+AA32+AA35+AA37+AA39+AA42+AA44+AA47</f>
        <v>1941</v>
      </c>
      <c r="J52" s="27">
        <f>AA8+AA11+AA12+AA15+AA17+AA19+AA22+AA24+AA26+AA31+AA33+AA34+AA36+AA38+AA40+AA43+AA46+AA48+AA51</f>
        <v>2095</v>
      </c>
      <c r="K52" s="27">
        <f>AA9+AA10+AA13+AA14+AA16+AA18+AA23+AA25+AA28+AA30+AA32+AA35+AA37+AA39+AA41+AA42+AA44+AA45+AA47+AA49</f>
        <v>2170</v>
      </c>
      <c r="L52" s="27">
        <f>AA9+AA10+AA13+AA14+AA18+AA21+AA22+AA25+AA26+AA31+AA32+AA35+AA39+AA40+AA43+AA44+AA49</f>
        <v>2085</v>
      </c>
      <c r="M52" s="27">
        <f>AA8+AA11+AA12+AA15+AA16+AA19+AA20+AA23+AA24+AA28+AA30+AA32+AA33+AA34+AA36+AA37+AA38+AA41+AA42+AA45+AA46+AA48+AA50</f>
        <v>2321</v>
      </c>
      <c r="N52" s="379"/>
      <c r="O52" s="380"/>
      <c r="P52" s="397"/>
      <c r="Q52" s="27">
        <f>AA9+AA11+AA13+AA15+AA16+AA19+AA21+AA23+AA25+AA26+AA30+AA33+AA34+AA37+AA38+AA40+AA41+AA42+AA45+AA46+AA48+AA51</f>
        <v>2320</v>
      </c>
      <c r="R52" s="27">
        <f>AA8+AA10+AA12+AA14+AA17+AA18+AA20+AA22+AA24+AA32+AA35+AA36+AA39+AA43+AA44+AA47+AA49+AA50</f>
        <v>1801</v>
      </c>
      <c r="S52" s="27"/>
      <c r="T52" s="27">
        <f>AA8+AA11+AA12+AA15+AA16+AA19+AA23+AA28+AA31+AA33+AA34+AA37+AA38+AA40+AA41+AA42+AA45+AA46+AA48</f>
        <v>1980</v>
      </c>
      <c r="U52" s="27">
        <f>AA9+AA10+AA13+AA14+AA17+AA21+AA22+AA24+AA26+AA30+AA32+AA35+AA36+AA39+AA43+AA44+AA47+AA51</f>
        <v>2115</v>
      </c>
      <c r="V52" s="27"/>
      <c r="W52" s="27">
        <f>AA8+AA10+AA15+AA17+AA18+AA21+AA23+AA25+AA26+AA31+AA33+AA35+AA37+AA39+AA41+AA43+AA47+AA49</f>
        <v>2055</v>
      </c>
      <c r="X52" s="27">
        <f>AA11+AA13+AA16+AA19+AA20+AA22+AA24+AA28+AA30+AA32+AA34+AA36+AA38+AA40+AA42+AA45+AA46+AA48+AA50</f>
        <v>2086</v>
      </c>
      <c r="Y52" s="27">
        <f>AA9+AA10+AA13+AA15+AA17+AA18+AA20+AA22+AA24+AA28+AA33+AA35+AA37+AA38+AA41+AA45+AA46+AA48+AA51</f>
        <v>2076</v>
      </c>
      <c r="Z52" s="28">
        <f>AA11+AA12+AA14+AA16+AA19+AA21+AA23+AA25+AA32+AA34+AA39+AA41+AA47+AA49</f>
        <v>1580</v>
      </c>
      <c r="AA52" s="93">
        <f>SUM(AA8:AA51)</f>
        <v>4601</v>
      </c>
      <c r="AB52" s="234"/>
    </row>
    <row r="53" spans="1:28" ht="36.75" customHeight="1" x14ac:dyDescent="0.65">
      <c r="A53" s="2" t="s">
        <v>75</v>
      </c>
      <c r="B53" s="2"/>
      <c r="C53" s="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379"/>
      <c r="O53" s="380"/>
      <c r="P53" s="400"/>
      <c r="Q53" s="123"/>
      <c r="R53" s="123"/>
      <c r="S53" s="123" t="s">
        <v>356</v>
      </c>
      <c r="T53" s="6"/>
      <c r="U53" s="123"/>
      <c r="V53" s="6"/>
      <c r="W53" s="6"/>
      <c r="X53" s="123"/>
      <c r="Y53" s="122"/>
      <c r="Z53" s="123"/>
      <c r="AB53" s="233"/>
    </row>
    <row r="54" spans="1:28" ht="51" customHeight="1" x14ac:dyDescent="0.55000000000000004">
      <c r="A54" s="4" t="s">
        <v>76</v>
      </c>
      <c r="B54" s="4"/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379"/>
      <c r="O54" s="380"/>
      <c r="P54" s="401"/>
      <c r="Q54" s="6"/>
      <c r="R54" s="6"/>
      <c r="S54" s="6"/>
      <c r="T54" s="6"/>
      <c r="U54" s="6"/>
      <c r="V54" s="6"/>
      <c r="W54" s="6"/>
      <c r="X54" s="6"/>
      <c r="Z54" s="124" t="str">
        <f>Q5</f>
        <v>07/07/2026</v>
      </c>
    </row>
    <row r="55" spans="1:28" ht="42" customHeight="1" thickBot="1" x14ac:dyDescent="0.6">
      <c r="A55" s="4" t="s">
        <v>115</v>
      </c>
      <c r="B55" s="4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398"/>
      <c r="O55" s="399"/>
      <c r="P55" s="401"/>
      <c r="Q55" s="6"/>
      <c r="R55" s="6"/>
      <c r="S55" s="6"/>
      <c r="T55" s="6"/>
      <c r="U55" s="6"/>
      <c r="V55" s="6"/>
      <c r="W55" s="6"/>
      <c r="X55" s="6"/>
    </row>
  </sheetData>
  <sheetProtection selectLockedCells="1" selectUnlockedCells="1"/>
  <mergeCells count="74">
    <mergeCell ref="B50:B51"/>
    <mergeCell ref="B40:B43"/>
    <mergeCell ref="B44:B47"/>
    <mergeCell ref="Y4:Z4"/>
    <mergeCell ref="A52:C52"/>
    <mergeCell ref="B18:B21"/>
    <mergeCell ref="B22:B25"/>
    <mergeCell ref="B32:B35"/>
    <mergeCell ref="A9:A47"/>
    <mergeCell ref="B14:B17"/>
    <mergeCell ref="B26:B31"/>
    <mergeCell ref="B8:B9"/>
    <mergeCell ref="B10:B13"/>
    <mergeCell ref="L28:L29"/>
    <mergeCell ref="L5:M5"/>
    <mergeCell ref="M28:M29"/>
    <mergeCell ref="W4:X4"/>
    <mergeCell ref="W5:X5"/>
    <mergeCell ref="W28:W29"/>
    <mergeCell ref="A1:AA1"/>
    <mergeCell ref="A2:AA2"/>
    <mergeCell ref="A3:AA3"/>
    <mergeCell ref="A4:A7"/>
    <mergeCell ref="B4:B7"/>
    <mergeCell ref="C4:C7"/>
    <mergeCell ref="D4:E4"/>
    <mergeCell ref="H4:I4"/>
    <mergeCell ref="J4:K4"/>
    <mergeCell ref="AA4:AA7"/>
    <mergeCell ref="D5:E5"/>
    <mergeCell ref="Y5:Z5"/>
    <mergeCell ref="L4:M4"/>
    <mergeCell ref="T4:V4"/>
    <mergeCell ref="H5:I5"/>
    <mergeCell ref="J5:K5"/>
    <mergeCell ref="Q4:S4"/>
    <mergeCell ref="U26:U27"/>
    <mergeCell ref="R26:R27"/>
    <mergeCell ref="N4:P4"/>
    <mergeCell ref="N5:P5"/>
    <mergeCell ref="L26:L27"/>
    <mergeCell ref="M26:M27"/>
    <mergeCell ref="N8:O55"/>
    <mergeCell ref="T28:T29"/>
    <mergeCell ref="Q5:S5"/>
    <mergeCell ref="T5:V5"/>
    <mergeCell ref="Q28:Q29"/>
    <mergeCell ref="V28:V29"/>
    <mergeCell ref="T26:T27"/>
    <mergeCell ref="U28:U29"/>
    <mergeCell ref="B48:B49"/>
    <mergeCell ref="F4:G4"/>
    <mergeCell ref="F5:G5"/>
    <mergeCell ref="G28:G29"/>
    <mergeCell ref="F28:F29"/>
    <mergeCell ref="E28:E29"/>
    <mergeCell ref="D26:D27"/>
    <mergeCell ref="AB26:AB27"/>
    <mergeCell ref="AB28:AB29"/>
    <mergeCell ref="AA26:AA27"/>
    <mergeCell ref="AA28:AA29"/>
    <mergeCell ref="Z26:Z27"/>
    <mergeCell ref="Y28:Y29"/>
    <mergeCell ref="Y26:Y27"/>
    <mergeCell ref="X26:X27"/>
    <mergeCell ref="X28:X29"/>
    <mergeCell ref="B36:B39"/>
    <mergeCell ref="P28:P29"/>
    <mergeCell ref="P26:P27"/>
    <mergeCell ref="H28:H29"/>
    <mergeCell ref="J28:J29"/>
    <mergeCell ref="I28:I29"/>
    <mergeCell ref="H26:H27"/>
    <mergeCell ref="K28:K29"/>
  </mergeCells>
  <printOptions horizontalCentered="1"/>
  <pageMargins left="0" right="0" top="0.78740157480314965" bottom="0.19685039370078741" header="0.19685039370078741" footer="0.19685039370078741"/>
  <pageSetup paperSize="9" scale="22" firstPageNumber="0" fitToHeight="2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0"/>
  <sheetViews>
    <sheetView zoomScale="30" zoomScaleNormal="30" workbookViewId="0">
      <selection activeCell="D3" sqref="D3:E50"/>
    </sheetView>
  </sheetViews>
  <sheetFormatPr defaultRowHeight="14" x14ac:dyDescent="0.3"/>
  <cols>
    <col min="1" max="1" width="14.9140625" customWidth="1"/>
    <col min="2" max="2" width="18.6640625" customWidth="1"/>
    <col min="3" max="3" width="24.9140625" customWidth="1"/>
    <col min="4" max="4" width="27" customWidth="1"/>
    <col min="5" max="5" width="23.58203125" customWidth="1"/>
    <col min="6" max="6" width="29.58203125" customWidth="1"/>
    <col min="7" max="7" width="26.08203125" customWidth="1"/>
  </cols>
  <sheetData>
    <row r="2" spans="1:7" ht="14.5" thickBot="1" x14ac:dyDescent="0.35"/>
    <row r="3" spans="1:7" ht="44.4" customHeight="1" thickBot="1" x14ac:dyDescent="0.35">
      <c r="A3" s="323" t="s">
        <v>352</v>
      </c>
      <c r="B3" s="310" t="s">
        <v>2</v>
      </c>
      <c r="C3" s="313" t="s">
        <v>3</v>
      </c>
      <c r="D3" s="302" t="s">
        <v>353</v>
      </c>
      <c r="E3" s="303"/>
      <c r="F3" s="319" t="s">
        <v>354</v>
      </c>
      <c r="G3" s="319"/>
    </row>
    <row r="4" spans="1:7" ht="43.5" thickBot="1" x14ac:dyDescent="1.25">
      <c r="A4" s="324"/>
      <c r="B4" s="311"/>
      <c r="C4" s="314"/>
      <c r="D4" s="304"/>
      <c r="E4" s="305"/>
      <c r="F4" s="320" t="s">
        <v>433</v>
      </c>
      <c r="G4" s="320"/>
    </row>
    <row r="5" spans="1:7" ht="43.5" thickBot="1" x14ac:dyDescent="0.35">
      <c r="A5" s="324"/>
      <c r="B5" s="311"/>
      <c r="C5" s="314"/>
      <c r="D5" s="304"/>
      <c r="E5" s="305"/>
      <c r="F5" s="117" t="s">
        <v>4</v>
      </c>
      <c r="G5" s="117" t="s">
        <v>5</v>
      </c>
    </row>
    <row r="6" spans="1:7" ht="126.65" customHeight="1" thickBot="1" x14ac:dyDescent="0.35">
      <c r="A6" s="324"/>
      <c r="B6" s="312"/>
      <c r="C6" s="315"/>
      <c r="D6" s="304"/>
      <c r="E6" s="305"/>
      <c r="F6" s="118" t="s">
        <v>259</v>
      </c>
      <c r="G6" s="118" t="s">
        <v>207</v>
      </c>
    </row>
    <row r="7" spans="1:7" ht="90.65" customHeight="1" thickBot="1" x14ac:dyDescent="0.35">
      <c r="A7" s="324"/>
      <c r="B7" s="326" t="s">
        <v>247</v>
      </c>
      <c r="C7" s="107" t="s">
        <v>94</v>
      </c>
      <c r="D7" s="304"/>
      <c r="E7" s="305"/>
      <c r="F7" s="97" t="s">
        <v>9</v>
      </c>
      <c r="G7" s="97"/>
    </row>
    <row r="8" spans="1:7" ht="114.65" customHeight="1" thickBot="1" x14ac:dyDescent="0.35">
      <c r="A8" s="324"/>
      <c r="B8" s="327"/>
      <c r="C8" s="22" t="s">
        <v>10</v>
      </c>
      <c r="D8" s="304"/>
      <c r="E8" s="305"/>
      <c r="F8" s="119" t="s">
        <v>256</v>
      </c>
      <c r="G8" s="98"/>
    </row>
    <row r="9" spans="1:7" ht="76.75" customHeight="1" thickBot="1" x14ac:dyDescent="0.35">
      <c r="A9" s="324"/>
      <c r="B9" s="328" t="s">
        <v>147</v>
      </c>
      <c r="C9" s="22" t="s">
        <v>77</v>
      </c>
      <c r="D9" s="304"/>
      <c r="E9" s="305"/>
      <c r="F9" s="119" t="s">
        <v>72</v>
      </c>
      <c r="G9" s="98"/>
    </row>
    <row r="10" spans="1:7" ht="72.650000000000006" customHeight="1" thickBot="1" x14ac:dyDescent="0.35">
      <c r="A10" s="324"/>
      <c r="B10" s="329"/>
      <c r="C10" s="22" t="s">
        <v>97</v>
      </c>
      <c r="D10" s="304"/>
      <c r="E10" s="305"/>
      <c r="F10" s="98"/>
      <c r="G10" s="97"/>
    </row>
    <row r="11" spans="1:7" ht="72.650000000000006" customHeight="1" thickBot="1" x14ac:dyDescent="0.35">
      <c r="A11" s="324"/>
      <c r="B11" s="329"/>
      <c r="C11" s="22" t="s">
        <v>94</v>
      </c>
      <c r="D11" s="304"/>
      <c r="E11" s="305"/>
      <c r="F11" s="97" t="s">
        <v>9</v>
      </c>
      <c r="G11" s="97"/>
    </row>
    <row r="12" spans="1:7" ht="90" customHeight="1" thickBot="1" x14ac:dyDescent="0.35">
      <c r="A12" s="324"/>
      <c r="B12" s="330"/>
      <c r="C12" s="22" t="s">
        <v>95</v>
      </c>
      <c r="D12" s="304"/>
      <c r="E12" s="305"/>
      <c r="F12" s="97" t="s">
        <v>256</v>
      </c>
      <c r="G12" s="97"/>
    </row>
    <row r="13" spans="1:7" ht="94.75" customHeight="1" thickBot="1" x14ac:dyDescent="0.35">
      <c r="A13" s="324"/>
      <c r="B13" s="331" t="s">
        <v>246</v>
      </c>
      <c r="C13" s="106" t="s">
        <v>77</v>
      </c>
      <c r="D13" s="304"/>
      <c r="E13" s="305"/>
      <c r="F13" s="97" t="s">
        <v>225</v>
      </c>
      <c r="G13" s="98"/>
    </row>
    <row r="14" spans="1:7" ht="66" customHeight="1" thickBot="1" x14ac:dyDescent="0.35">
      <c r="A14" s="324"/>
      <c r="B14" s="332"/>
      <c r="C14" s="108" t="s">
        <v>97</v>
      </c>
      <c r="D14" s="304"/>
      <c r="E14" s="305"/>
      <c r="F14" s="97"/>
      <c r="G14" s="98"/>
    </row>
    <row r="15" spans="1:7" ht="127.75" customHeight="1" thickBot="1" x14ac:dyDescent="0.35">
      <c r="A15" s="324"/>
      <c r="B15" s="332"/>
      <c r="C15" s="21" t="s">
        <v>8</v>
      </c>
      <c r="D15" s="304"/>
      <c r="E15" s="305"/>
      <c r="F15" s="97" t="s">
        <v>190</v>
      </c>
      <c r="G15" s="97"/>
    </row>
    <row r="16" spans="1:7" ht="109.25" customHeight="1" thickBot="1" x14ac:dyDescent="0.35">
      <c r="A16" s="324"/>
      <c r="B16" s="333"/>
      <c r="C16" s="22" t="s">
        <v>10</v>
      </c>
      <c r="D16" s="304"/>
      <c r="E16" s="305"/>
      <c r="F16" s="97" t="s">
        <v>192</v>
      </c>
      <c r="G16" s="98"/>
    </row>
    <row r="17" spans="1:7" ht="66" customHeight="1" thickBot="1" x14ac:dyDescent="0.35">
      <c r="A17" s="324"/>
      <c r="B17" s="334" t="s">
        <v>245</v>
      </c>
      <c r="C17" s="20" t="s">
        <v>12</v>
      </c>
      <c r="D17" s="304"/>
      <c r="E17" s="305"/>
      <c r="F17" s="97" t="s">
        <v>212</v>
      </c>
      <c r="G17" s="98"/>
    </row>
    <row r="18" spans="1:7" ht="78" customHeight="1" thickBot="1" x14ac:dyDescent="0.35">
      <c r="A18" s="324"/>
      <c r="B18" s="334"/>
      <c r="C18" s="21" t="s">
        <v>14</v>
      </c>
      <c r="D18" s="304"/>
      <c r="E18" s="305"/>
      <c r="F18" s="97"/>
      <c r="G18" s="98"/>
    </row>
    <row r="19" spans="1:7" ht="99" customHeight="1" thickBot="1" x14ac:dyDescent="0.35">
      <c r="A19" s="324"/>
      <c r="B19" s="334"/>
      <c r="C19" s="21" t="s">
        <v>8</v>
      </c>
      <c r="D19" s="304"/>
      <c r="E19" s="305"/>
      <c r="F19" s="97" t="s">
        <v>191</v>
      </c>
      <c r="G19" s="97"/>
    </row>
    <row r="20" spans="1:7" ht="84.65" customHeight="1" thickBot="1" x14ac:dyDescent="0.35">
      <c r="A20" s="324"/>
      <c r="B20" s="334"/>
      <c r="C20" s="22" t="s">
        <v>10</v>
      </c>
      <c r="D20" s="304"/>
      <c r="E20" s="305"/>
      <c r="F20" s="97" t="s">
        <v>256</v>
      </c>
      <c r="G20" s="98"/>
    </row>
    <row r="21" spans="1:7" ht="75.650000000000006" customHeight="1" thickBot="1" x14ac:dyDescent="0.35">
      <c r="A21" s="324"/>
      <c r="B21" s="334" t="s">
        <v>244</v>
      </c>
      <c r="C21" s="20" t="s">
        <v>12</v>
      </c>
      <c r="D21" s="304"/>
      <c r="E21" s="305"/>
      <c r="F21" s="97" t="s">
        <v>72</v>
      </c>
      <c r="G21" s="98"/>
    </row>
    <row r="22" spans="1:7" ht="88.75" customHeight="1" thickBot="1" x14ac:dyDescent="0.35">
      <c r="A22" s="324"/>
      <c r="B22" s="334"/>
      <c r="C22" s="21" t="s">
        <v>14</v>
      </c>
      <c r="D22" s="304"/>
      <c r="E22" s="305"/>
      <c r="F22" s="97"/>
      <c r="G22" s="98"/>
    </row>
    <row r="23" spans="1:7" ht="79.75" customHeight="1" thickBot="1" x14ac:dyDescent="0.35">
      <c r="A23" s="324"/>
      <c r="B23" s="334"/>
      <c r="C23" s="21" t="s">
        <v>8</v>
      </c>
      <c r="D23" s="304"/>
      <c r="E23" s="305"/>
      <c r="F23" s="97" t="s">
        <v>191</v>
      </c>
      <c r="G23" s="97"/>
    </row>
    <row r="24" spans="1:7" ht="99" customHeight="1" thickBot="1" x14ac:dyDescent="0.35">
      <c r="A24" s="324"/>
      <c r="B24" s="334"/>
      <c r="C24" s="22" t="s">
        <v>10</v>
      </c>
      <c r="D24" s="304"/>
      <c r="E24" s="305"/>
      <c r="F24" s="97" t="s">
        <v>256</v>
      </c>
      <c r="G24" s="98"/>
    </row>
    <row r="25" spans="1:7" ht="76.75" customHeight="1" thickBot="1" x14ac:dyDescent="0.35">
      <c r="A25" s="324"/>
      <c r="B25" s="308" t="s">
        <v>125</v>
      </c>
      <c r="C25" s="109" t="s">
        <v>83</v>
      </c>
      <c r="D25" s="304"/>
      <c r="E25" s="305"/>
      <c r="F25" s="321" t="s">
        <v>72</v>
      </c>
      <c r="G25" s="97"/>
    </row>
    <row r="26" spans="1:7" ht="108" customHeight="1" thickBot="1" x14ac:dyDescent="0.35">
      <c r="A26" s="324"/>
      <c r="B26" s="308"/>
      <c r="C26" s="109" t="s">
        <v>84</v>
      </c>
      <c r="D26" s="304"/>
      <c r="E26" s="305"/>
      <c r="F26" s="322"/>
      <c r="G26" s="97"/>
    </row>
    <row r="27" spans="1:7" ht="89.4" customHeight="1" thickBot="1" x14ac:dyDescent="0.35">
      <c r="A27" s="324"/>
      <c r="B27" s="308"/>
      <c r="C27" s="109" t="s">
        <v>85</v>
      </c>
      <c r="D27" s="304"/>
      <c r="E27" s="305"/>
      <c r="F27" s="321" t="s">
        <v>15</v>
      </c>
      <c r="G27" s="321"/>
    </row>
    <row r="28" spans="1:7" ht="94.25" customHeight="1" thickBot="1" x14ac:dyDescent="0.35">
      <c r="A28" s="324"/>
      <c r="B28" s="308"/>
      <c r="C28" s="109" t="s">
        <v>86</v>
      </c>
      <c r="D28" s="304"/>
      <c r="E28" s="305"/>
      <c r="F28" s="321"/>
      <c r="G28" s="321"/>
    </row>
    <row r="29" spans="1:7" ht="113.4" customHeight="1" thickBot="1" x14ac:dyDescent="0.35">
      <c r="A29" s="324"/>
      <c r="B29" s="308"/>
      <c r="C29" s="109" t="s">
        <v>8</v>
      </c>
      <c r="D29" s="304"/>
      <c r="E29" s="305"/>
      <c r="F29" s="97" t="s">
        <v>9</v>
      </c>
      <c r="G29" s="97"/>
    </row>
    <row r="30" spans="1:7" ht="133.25" customHeight="1" thickBot="1" x14ac:dyDescent="0.35">
      <c r="A30" s="324"/>
      <c r="B30" s="308"/>
      <c r="C30" s="110" t="s">
        <v>10</v>
      </c>
      <c r="D30" s="304"/>
      <c r="E30" s="305"/>
      <c r="F30" s="97" t="s">
        <v>256</v>
      </c>
      <c r="G30" s="98"/>
    </row>
    <row r="31" spans="1:7" ht="148.75" customHeight="1" thickBot="1" x14ac:dyDescent="0.35">
      <c r="A31" s="324"/>
      <c r="B31" s="308" t="s">
        <v>243</v>
      </c>
      <c r="C31" s="110" t="s">
        <v>77</v>
      </c>
      <c r="D31" s="304"/>
      <c r="E31" s="305"/>
      <c r="F31" s="97" t="s">
        <v>213</v>
      </c>
      <c r="G31" s="98"/>
    </row>
    <row r="32" spans="1:7" ht="109.75" customHeight="1" thickBot="1" x14ac:dyDescent="0.35">
      <c r="A32" s="324"/>
      <c r="B32" s="308"/>
      <c r="C32" s="110" t="s">
        <v>97</v>
      </c>
      <c r="D32" s="304"/>
      <c r="E32" s="305"/>
      <c r="F32" s="97" t="s">
        <v>15</v>
      </c>
      <c r="G32" s="98"/>
    </row>
    <row r="33" spans="1:7" ht="147" customHeight="1" thickBot="1" x14ac:dyDescent="0.35">
      <c r="A33" s="324"/>
      <c r="B33" s="308"/>
      <c r="C33" s="110" t="s">
        <v>94</v>
      </c>
      <c r="D33" s="304"/>
      <c r="E33" s="305"/>
      <c r="F33" s="97" t="s">
        <v>191</v>
      </c>
      <c r="G33" s="97"/>
    </row>
    <row r="34" spans="1:7" ht="129" customHeight="1" thickBot="1" x14ac:dyDescent="0.35">
      <c r="A34" s="324"/>
      <c r="B34" s="308"/>
      <c r="C34" s="109" t="s">
        <v>10</v>
      </c>
      <c r="D34" s="304"/>
      <c r="E34" s="305"/>
      <c r="F34" s="97" t="s">
        <v>256</v>
      </c>
      <c r="G34" s="98"/>
    </row>
    <row r="35" spans="1:7" ht="129" customHeight="1" thickBot="1" x14ac:dyDescent="0.35">
      <c r="A35" s="324"/>
      <c r="B35" s="361"/>
      <c r="C35" s="110" t="s">
        <v>12</v>
      </c>
      <c r="D35" s="304"/>
      <c r="E35" s="305"/>
      <c r="F35" s="245"/>
      <c r="G35" s="98"/>
    </row>
    <row r="36" spans="1:7" ht="105" customHeight="1" thickBot="1" x14ac:dyDescent="0.35">
      <c r="A36" s="324"/>
      <c r="B36" s="360" t="s">
        <v>269</v>
      </c>
      <c r="C36" s="110" t="s">
        <v>14</v>
      </c>
      <c r="D36" s="304"/>
      <c r="E36" s="305"/>
      <c r="F36" s="97" t="s">
        <v>277</v>
      </c>
      <c r="G36" s="98"/>
    </row>
    <row r="37" spans="1:7" ht="111.65" customHeight="1" thickBot="1" x14ac:dyDescent="0.35">
      <c r="A37" s="324"/>
      <c r="B37" s="308"/>
      <c r="C37" s="111" t="s">
        <v>187</v>
      </c>
      <c r="D37" s="304"/>
      <c r="E37" s="305"/>
      <c r="F37" s="97"/>
      <c r="G37" s="98"/>
    </row>
    <row r="38" spans="1:7" ht="120" customHeight="1" thickBot="1" x14ac:dyDescent="0.35">
      <c r="A38" s="324"/>
      <c r="B38" s="308"/>
      <c r="C38" s="109" t="s">
        <v>94</v>
      </c>
      <c r="D38" s="304"/>
      <c r="E38" s="305"/>
      <c r="F38" s="97" t="s">
        <v>9</v>
      </c>
      <c r="G38" s="98"/>
    </row>
    <row r="39" spans="1:7" ht="142.75" customHeight="1" thickBot="1" x14ac:dyDescent="0.35">
      <c r="A39" s="324"/>
      <c r="B39" s="308"/>
      <c r="C39" s="110" t="s">
        <v>10</v>
      </c>
      <c r="D39" s="304"/>
      <c r="E39" s="305"/>
      <c r="F39" s="97" t="s">
        <v>256</v>
      </c>
      <c r="G39" s="98"/>
    </row>
    <row r="40" spans="1:7" ht="115.75" customHeight="1" thickBot="1" x14ac:dyDescent="0.35">
      <c r="A40" s="324"/>
      <c r="B40" s="309" t="s">
        <v>242</v>
      </c>
      <c r="C40" s="109" t="s">
        <v>77</v>
      </c>
      <c r="D40" s="304"/>
      <c r="E40" s="305"/>
      <c r="F40" s="97" t="s">
        <v>413</v>
      </c>
      <c r="G40" s="98"/>
    </row>
    <row r="41" spans="1:7" ht="160.75" customHeight="1" thickBot="1" x14ac:dyDescent="0.35">
      <c r="A41" s="324"/>
      <c r="B41" s="309"/>
      <c r="C41" s="112" t="s">
        <v>94</v>
      </c>
      <c r="D41" s="304"/>
      <c r="E41" s="305"/>
      <c r="F41" s="97" t="s">
        <v>260</v>
      </c>
      <c r="G41" s="97"/>
    </row>
    <row r="42" spans="1:7" ht="136.75" customHeight="1" thickBot="1" x14ac:dyDescent="0.35">
      <c r="A42" s="324"/>
      <c r="B42" s="309"/>
      <c r="C42" s="113" t="s">
        <v>95</v>
      </c>
      <c r="D42" s="304"/>
      <c r="E42" s="305"/>
      <c r="F42" s="97" t="s">
        <v>261</v>
      </c>
      <c r="G42" s="98"/>
    </row>
    <row r="43" spans="1:7" ht="145.75" customHeight="1" thickBot="1" x14ac:dyDescent="0.35">
      <c r="A43" s="324"/>
      <c r="B43" s="308" t="s">
        <v>270</v>
      </c>
      <c r="C43" s="109" t="s">
        <v>97</v>
      </c>
      <c r="D43" s="304"/>
      <c r="E43" s="305"/>
      <c r="F43" s="97"/>
      <c r="G43" s="98"/>
    </row>
    <row r="44" spans="1:7" ht="127.75" customHeight="1" thickBot="1" x14ac:dyDescent="0.35">
      <c r="A44" s="324"/>
      <c r="B44" s="308"/>
      <c r="C44" s="114" t="s">
        <v>94</v>
      </c>
      <c r="D44" s="304"/>
      <c r="E44" s="305"/>
      <c r="F44" s="97" t="s">
        <v>9</v>
      </c>
      <c r="G44" s="97"/>
    </row>
    <row r="45" spans="1:7" ht="147" customHeight="1" thickBot="1" x14ac:dyDescent="0.35">
      <c r="A45" s="324"/>
      <c r="B45" s="308"/>
      <c r="C45" s="109" t="s">
        <v>95</v>
      </c>
      <c r="D45" s="304"/>
      <c r="E45" s="305"/>
      <c r="F45" s="97" t="s">
        <v>256</v>
      </c>
      <c r="G45" s="98"/>
    </row>
    <row r="46" spans="1:7" ht="121.75" customHeight="1" thickBot="1" x14ac:dyDescent="0.35">
      <c r="A46" s="324"/>
      <c r="B46" s="316" t="s">
        <v>293</v>
      </c>
      <c r="C46" s="115" t="s">
        <v>94</v>
      </c>
      <c r="D46" s="304"/>
      <c r="E46" s="305"/>
      <c r="F46" s="97" t="s">
        <v>301</v>
      </c>
      <c r="G46" s="98"/>
    </row>
    <row r="47" spans="1:7" ht="138.65" customHeight="1" thickBot="1" x14ac:dyDescent="0.35">
      <c r="A47" s="324"/>
      <c r="B47" s="317"/>
      <c r="C47" s="115" t="s">
        <v>95</v>
      </c>
      <c r="D47" s="304"/>
      <c r="E47" s="305"/>
      <c r="F47" s="97" t="s">
        <v>294</v>
      </c>
      <c r="G47" s="98"/>
    </row>
    <row r="48" spans="1:7" ht="138.65" customHeight="1" thickBot="1" x14ac:dyDescent="0.35">
      <c r="A48" s="324"/>
      <c r="B48" s="335" t="s">
        <v>263</v>
      </c>
      <c r="C48" s="210" t="s">
        <v>8</v>
      </c>
      <c r="D48" s="304"/>
      <c r="E48" s="305"/>
      <c r="F48" s="157" t="s">
        <v>260</v>
      </c>
      <c r="G48" s="211"/>
    </row>
    <row r="49" spans="1:7" ht="219" customHeight="1" thickBot="1" x14ac:dyDescent="0.35">
      <c r="A49" s="325"/>
      <c r="B49" s="336"/>
      <c r="C49" s="110" t="s">
        <v>95</v>
      </c>
      <c r="D49" s="304"/>
      <c r="E49" s="305"/>
      <c r="F49" s="120" t="s">
        <v>256</v>
      </c>
      <c r="G49" s="121"/>
    </row>
    <row r="50" spans="1:7" ht="43.5" thickBot="1" x14ac:dyDescent="0.35">
      <c r="A50" s="318" t="s">
        <v>74</v>
      </c>
      <c r="B50" s="286"/>
      <c r="C50" s="286"/>
      <c r="D50" s="306"/>
      <c r="E50" s="307"/>
      <c r="F50" s="116"/>
      <c r="G50" s="42"/>
    </row>
  </sheetData>
  <mergeCells count="22">
    <mergeCell ref="B48:B49"/>
    <mergeCell ref="F3:G3"/>
    <mergeCell ref="F4:G4"/>
    <mergeCell ref="F25:F26"/>
    <mergeCell ref="F27:F28"/>
    <mergeCell ref="G27:G28"/>
    <mergeCell ref="D3:E50"/>
    <mergeCell ref="B31:B34"/>
    <mergeCell ref="B36:B39"/>
    <mergeCell ref="B40:B42"/>
    <mergeCell ref="B3:B6"/>
    <mergeCell ref="C3:C6"/>
    <mergeCell ref="B25:B30"/>
    <mergeCell ref="B43:B45"/>
    <mergeCell ref="B46:B47"/>
    <mergeCell ref="A50:C50"/>
    <mergeCell ref="A3:A49"/>
    <mergeCell ref="B7:B8"/>
    <mergeCell ref="B9:B12"/>
    <mergeCell ref="B13:B16"/>
    <mergeCell ref="B17:B20"/>
    <mergeCell ref="B21:B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37"/>
  <sheetViews>
    <sheetView zoomScale="124" zoomScaleNormal="124" workbookViewId="0">
      <selection activeCell="J12" sqref="J12"/>
    </sheetView>
  </sheetViews>
  <sheetFormatPr defaultRowHeight="14" x14ac:dyDescent="0.3"/>
  <sheetData>
    <row r="2" spans="1:26" ht="22" x14ac:dyDescent="0.65">
      <c r="A2" s="340" t="s">
        <v>0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</row>
    <row r="3" spans="1:26" ht="22" x14ac:dyDescent="0.65">
      <c r="A3" s="340" t="s">
        <v>360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</row>
    <row r="4" spans="1:26" ht="22" x14ac:dyDescent="0.65">
      <c r="A4" s="340" t="s">
        <v>374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</row>
    <row r="5" spans="1:26" ht="22.5" thickBot="1" x14ac:dyDescent="0.7">
      <c r="A5" s="340" t="s">
        <v>427</v>
      </c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</row>
    <row r="6" spans="1:26" ht="15.5" x14ac:dyDescent="0.3">
      <c r="E6" s="341" t="s">
        <v>2</v>
      </c>
      <c r="F6" s="344" t="s">
        <v>361</v>
      </c>
      <c r="G6" s="347" t="s">
        <v>362</v>
      </c>
      <c r="H6" s="348"/>
      <c r="I6" s="207"/>
    </row>
    <row r="7" spans="1:26" x14ac:dyDescent="0.3">
      <c r="E7" s="342"/>
      <c r="F7" s="345"/>
      <c r="G7" s="349" t="s">
        <v>375</v>
      </c>
      <c r="H7" s="350"/>
      <c r="I7" s="208"/>
    </row>
    <row r="8" spans="1:26" x14ac:dyDescent="0.3">
      <c r="E8" s="342"/>
      <c r="F8" s="345"/>
      <c r="G8" s="190" t="s">
        <v>4</v>
      </c>
      <c r="H8" s="203" t="s">
        <v>5</v>
      </c>
      <c r="I8" s="208"/>
    </row>
    <row r="9" spans="1:26" ht="29.5" thickBot="1" x14ac:dyDescent="0.35">
      <c r="E9" s="343"/>
      <c r="F9" s="346"/>
      <c r="G9" s="191" t="s">
        <v>363</v>
      </c>
      <c r="H9" s="204" t="s">
        <v>364</v>
      </c>
      <c r="I9" s="209" t="s">
        <v>74</v>
      </c>
    </row>
    <row r="10" spans="1:26" ht="16.5" customHeight="1" thickBot="1" x14ac:dyDescent="0.35">
      <c r="E10" s="351" t="s">
        <v>247</v>
      </c>
      <c r="F10" s="192" t="s">
        <v>8</v>
      </c>
      <c r="G10" s="193"/>
      <c r="H10" s="205"/>
      <c r="I10" s="208"/>
    </row>
    <row r="11" spans="1:26" ht="18" customHeight="1" thickBot="1" x14ac:dyDescent="0.35">
      <c r="E11" s="352"/>
      <c r="F11" s="194" t="s">
        <v>10</v>
      </c>
      <c r="G11" s="193" t="s">
        <v>35</v>
      </c>
      <c r="H11" s="89"/>
      <c r="I11" s="208">
        <v>65</v>
      </c>
    </row>
    <row r="12" spans="1:26" ht="16" customHeight="1" thickBot="1" x14ac:dyDescent="0.35">
      <c r="E12" s="353" t="s">
        <v>365</v>
      </c>
      <c r="F12" s="195" t="s">
        <v>8</v>
      </c>
      <c r="G12" s="193"/>
      <c r="H12" s="205"/>
      <c r="I12" s="208"/>
    </row>
    <row r="13" spans="1:26" ht="19.5" customHeight="1" thickBot="1" x14ac:dyDescent="0.35">
      <c r="E13" s="354"/>
      <c r="F13" s="194" t="s">
        <v>95</v>
      </c>
      <c r="G13" s="193" t="s">
        <v>411</v>
      </c>
      <c r="H13" s="89"/>
      <c r="I13" s="208">
        <v>200</v>
      </c>
    </row>
    <row r="14" spans="1:26" ht="14.5" thickBot="1" x14ac:dyDescent="0.35">
      <c r="E14" s="337" t="s">
        <v>147</v>
      </c>
      <c r="F14" s="196" t="s">
        <v>8</v>
      </c>
      <c r="G14" s="67"/>
      <c r="H14" s="205" t="s">
        <v>412</v>
      </c>
      <c r="I14" s="208">
        <v>210</v>
      </c>
    </row>
    <row r="15" spans="1:26" ht="15.5" customHeight="1" thickBot="1" x14ac:dyDescent="0.35">
      <c r="E15" s="352"/>
      <c r="F15" s="196" t="s">
        <v>10</v>
      </c>
      <c r="G15" s="193" t="s">
        <v>377</v>
      </c>
      <c r="H15" s="89"/>
      <c r="I15" s="208">
        <v>250</v>
      </c>
    </row>
    <row r="16" spans="1:26" ht="20" customHeight="1" thickBot="1" x14ac:dyDescent="0.35">
      <c r="E16" s="338" t="s">
        <v>367</v>
      </c>
      <c r="F16" s="195" t="s">
        <v>94</v>
      </c>
      <c r="G16" s="193"/>
      <c r="H16" s="205" t="s">
        <v>79</v>
      </c>
      <c r="I16" s="208">
        <v>171</v>
      </c>
    </row>
    <row r="17" spans="5:9" ht="15.5" customHeight="1" thickBot="1" x14ac:dyDescent="0.35">
      <c r="E17" s="339"/>
      <c r="F17" s="194" t="s">
        <v>95</v>
      </c>
      <c r="G17" s="193" t="s">
        <v>38</v>
      </c>
      <c r="H17" s="205"/>
      <c r="I17" s="208">
        <v>175</v>
      </c>
    </row>
    <row r="18" spans="5:9" ht="14.5" thickBot="1" x14ac:dyDescent="0.35">
      <c r="E18" s="351" t="s">
        <v>368</v>
      </c>
      <c r="F18" s="195" t="s">
        <v>8</v>
      </c>
      <c r="G18" s="193"/>
      <c r="H18" s="205" t="s">
        <v>56</v>
      </c>
      <c r="I18" s="208">
        <v>100</v>
      </c>
    </row>
    <row r="19" spans="5:9" ht="14.5" thickBot="1" x14ac:dyDescent="0.35">
      <c r="E19" s="337"/>
      <c r="F19" s="197" t="s">
        <v>95</v>
      </c>
      <c r="G19" s="193" t="s">
        <v>366</v>
      </c>
      <c r="H19" s="205"/>
      <c r="I19" s="208">
        <v>100</v>
      </c>
    </row>
    <row r="20" spans="5:9" ht="14.5" thickBot="1" x14ac:dyDescent="0.35">
      <c r="E20" s="352"/>
      <c r="F20" s="195" t="s">
        <v>14</v>
      </c>
      <c r="G20" s="193"/>
      <c r="H20" s="205"/>
      <c r="I20" s="208"/>
    </row>
    <row r="21" spans="5:9" ht="14.5" thickBot="1" x14ac:dyDescent="0.35">
      <c r="E21" s="337" t="s">
        <v>369</v>
      </c>
      <c r="F21" s="193" t="s">
        <v>12</v>
      </c>
      <c r="G21" s="193" t="s">
        <v>426</v>
      </c>
      <c r="H21" s="205"/>
      <c r="I21" s="208">
        <v>190</v>
      </c>
    </row>
    <row r="22" spans="5:9" ht="14.5" thickBot="1" x14ac:dyDescent="0.35">
      <c r="E22" s="338"/>
      <c r="F22" s="200" t="s">
        <v>8</v>
      </c>
      <c r="G22" s="67"/>
      <c r="H22" s="205" t="s">
        <v>410</v>
      </c>
      <c r="I22" s="208">
        <v>230</v>
      </c>
    </row>
    <row r="23" spans="5:9" ht="19.5" customHeight="1" thickBot="1" x14ac:dyDescent="0.35">
      <c r="E23" s="339"/>
      <c r="F23" s="194" t="s">
        <v>95</v>
      </c>
      <c r="G23" s="193" t="s">
        <v>35</v>
      </c>
      <c r="H23" s="89"/>
      <c r="I23" s="208">
        <v>270</v>
      </c>
    </row>
    <row r="24" spans="5:9" ht="14.5" thickBot="1" x14ac:dyDescent="0.35">
      <c r="E24" s="351" t="s">
        <v>370</v>
      </c>
      <c r="F24" s="198" t="s">
        <v>8</v>
      </c>
      <c r="G24" s="67"/>
      <c r="H24" s="205" t="s">
        <v>56</v>
      </c>
      <c r="I24" s="208">
        <v>40</v>
      </c>
    </row>
    <row r="25" spans="5:9" ht="14.5" thickBot="1" x14ac:dyDescent="0.35">
      <c r="E25" s="355"/>
      <c r="F25" s="198" t="s">
        <v>10</v>
      </c>
      <c r="G25" s="193" t="s">
        <v>38</v>
      </c>
      <c r="H25" s="205"/>
      <c r="I25" s="208">
        <v>70</v>
      </c>
    </row>
    <row r="26" spans="5:9" ht="14.5" thickBot="1" x14ac:dyDescent="0.35">
      <c r="E26" s="351" t="s">
        <v>371</v>
      </c>
      <c r="F26" s="192" t="s">
        <v>8</v>
      </c>
      <c r="G26" s="193"/>
      <c r="H26" s="205"/>
      <c r="I26" s="208"/>
    </row>
    <row r="27" spans="5:9" ht="14.5" thickBot="1" x14ac:dyDescent="0.35">
      <c r="E27" s="356"/>
      <c r="F27" s="198" t="s">
        <v>95</v>
      </c>
      <c r="G27" s="193" t="s">
        <v>38</v>
      </c>
      <c r="H27" s="205"/>
      <c r="I27" s="208">
        <v>250</v>
      </c>
    </row>
    <row r="28" spans="5:9" ht="14.5" thickBot="1" x14ac:dyDescent="0.35">
      <c r="E28" s="338" t="s">
        <v>243</v>
      </c>
      <c r="F28" s="199" t="s">
        <v>8</v>
      </c>
      <c r="G28" s="193"/>
      <c r="H28" s="205"/>
      <c r="I28" s="208"/>
    </row>
    <row r="29" spans="5:9" ht="14.5" thickBot="1" x14ac:dyDescent="0.35">
      <c r="E29" s="338"/>
      <c r="F29" s="200" t="s">
        <v>95</v>
      </c>
      <c r="G29" s="193" t="s">
        <v>377</v>
      </c>
      <c r="H29" s="89"/>
      <c r="I29" s="208">
        <v>75</v>
      </c>
    </row>
    <row r="30" spans="5:9" ht="14.5" thickBot="1" x14ac:dyDescent="0.35">
      <c r="E30" s="357" t="s">
        <v>372</v>
      </c>
      <c r="F30" s="199" t="s">
        <v>8</v>
      </c>
      <c r="G30" s="193"/>
      <c r="H30" s="205"/>
      <c r="I30" s="208"/>
    </row>
    <row r="31" spans="5:9" ht="14.5" thickBot="1" x14ac:dyDescent="0.35">
      <c r="E31" s="355"/>
      <c r="F31" s="194" t="s">
        <v>95</v>
      </c>
      <c r="G31" s="193" t="s">
        <v>35</v>
      </c>
      <c r="H31" s="89"/>
      <c r="I31" s="208">
        <v>50</v>
      </c>
    </row>
    <row r="32" spans="5:9" ht="14.5" thickBot="1" x14ac:dyDescent="0.35">
      <c r="E32" s="357" t="s">
        <v>293</v>
      </c>
      <c r="F32" s="199" t="s">
        <v>8</v>
      </c>
      <c r="G32" s="193"/>
      <c r="H32" s="205"/>
      <c r="I32" s="208"/>
    </row>
    <row r="33" spans="5:9" ht="14.5" thickBot="1" x14ac:dyDescent="0.35">
      <c r="E33" s="355"/>
      <c r="F33" s="194" t="s">
        <v>95</v>
      </c>
      <c r="G33" s="193" t="s">
        <v>377</v>
      </c>
      <c r="H33" s="89"/>
      <c r="I33" s="208">
        <v>65</v>
      </c>
    </row>
    <row r="34" spans="5:9" ht="14.5" thickBot="1" x14ac:dyDescent="0.35">
      <c r="E34" s="357" t="s">
        <v>263</v>
      </c>
      <c r="F34" s="199" t="s">
        <v>8</v>
      </c>
      <c r="G34" s="193"/>
      <c r="H34" s="205" t="s">
        <v>378</v>
      </c>
      <c r="I34" s="208">
        <v>10</v>
      </c>
    </row>
    <row r="35" spans="5:9" ht="14.5" customHeight="1" thickBot="1" x14ac:dyDescent="0.35">
      <c r="E35" s="355"/>
      <c r="F35" s="194" t="s">
        <v>95</v>
      </c>
      <c r="G35" s="193" t="s">
        <v>35</v>
      </c>
      <c r="H35" s="89"/>
      <c r="I35" s="208">
        <v>27</v>
      </c>
    </row>
    <row r="36" spans="5:9" ht="36" customHeight="1" thickBot="1" x14ac:dyDescent="0.35">
      <c r="E36" s="201" t="s">
        <v>376</v>
      </c>
      <c r="F36" s="193" t="s">
        <v>10</v>
      </c>
      <c r="G36" s="193" t="s">
        <v>416</v>
      </c>
      <c r="H36" s="205"/>
      <c r="I36" s="208">
        <v>190</v>
      </c>
    </row>
    <row r="37" spans="5:9" ht="16" thickBot="1" x14ac:dyDescent="0.4">
      <c r="E37" s="358" t="s">
        <v>373</v>
      </c>
      <c r="F37" s="359"/>
      <c r="G37" s="202"/>
      <c r="H37" s="206"/>
      <c r="I37" s="228">
        <f>SUM(I10:I36)</f>
        <v>2738</v>
      </c>
    </row>
  </sheetData>
  <mergeCells count="21">
    <mergeCell ref="E24:E25"/>
    <mergeCell ref="E26:E27"/>
    <mergeCell ref="E28:E29"/>
    <mergeCell ref="E30:E31"/>
    <mergeCell ref="E37:F37"/>
    <mergeCell ref="E32:E33"/>
    <mergeCell ref="E34:E35"/>
    <mergeCell ref="E21:E23"/>
    <mergeCell ref="A2:Z2"/>
    <mergeCell ref="A3:Z3"/>
    <mergeCell ref="A4:Z4"/>
    <mergeCell ref="A5:Z5"/>
    <mergeCell ref="E6:E9"/>
    <mergeCell ref="F6:F9"/>
    <mergeCell ref="G6:H6"/>
    <mergeCell ref="G7:H7"/>
    <mergeCell ref="E10:E11"/>
    <mergeCell ref="E12:E13"/>
    <mergeCell ref="E14:E15"/>
    <mergeCell ref="E16:E17"/>
    <mergeCell ref="E18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ENGR</vt:lpstr>
      <vt:lpstr>CBT</vt:lpstr>
      <vt:lpstr>DRWG</vt:lpstr>
      <vt:lpstr>ENGR!Excel_BuiltIn_Print_Titles</vt:lpstr>
      <vt:lpstr>ENGR!Print_Area</vt:lpstr>
      <vt:lpstr>ENGR!Print_Titles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2026-06-08T19:45:09Z</cp:lastPrinted>
  <dcterms:created xsi:type="dcterms:W3CDTF">2015-05-10T20:49:27Z</dcterms:created>
  <dcterms:modified xsi:type="dcterms:W3CDTF">2026-06-16T18:52:52Z</dcterms:modified>
</cp:coreProperties>
</file>